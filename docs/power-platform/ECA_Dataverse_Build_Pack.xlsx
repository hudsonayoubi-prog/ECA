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comments14.xml" ContentType="application/vnd.openxmlformats-officedocument.spreadsheetml.comments+xml"/>
  <Override PartName="/xl/comments12.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tables/table1.xml" ContentType="application/vnd.openxmlformats-officedocument.spreadsheetml.table+xml"/>
  <Override PartName="/xl/tables/table5.xml" ContentType="application/vnd.openxmlformats-officedocument.spreadsheetml.table+xml"/>
  <Override PartName="/xl/tables/table1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13.xml" ContentType="application/vnd.openxmlformats-officedocument.spreadsheetml.table+xml"/>
  <Override PartName="/xl/tables/table6.xml" ContentType="application/vnd.openxmlformats-officedocument.spreadsheetml.table+xml"/>
  <Override PartName="/xl/tables/table11.xml" ContentType="application/vnd.openxmlformats-officedocument.spreadsheetml.table+xml"/>
  <Override PartName="/xl/tables/table9.xml" ContentType="application/vnd.openxmlformats-officedocument.spreadsheetml.table+xml"/>
  <Override PartName="/xl/tables/table7.xml" ContentType="application/vnd.openxmlformats-officedocument.spreadsheetml.table+xml"/>
  <Override PartName="/xl/tables/table14.xml" ContentType="application/vnd.openxmlformats-officedocument.spreadsheetml.table+xml"/>
  <Override PartName="/xl/tables/table2.xml" ContentType="application/vnd.openxmlformats-officedocument.spreadsheetml.table+xml"/>
  <Override PartName="/xl/tables/table10.xml" ContentType="application/vnd.openxmlformats-officedocument.spreadsheetml.table+xml"/>
  <Override PartName="/xl/tables/table8.xml" ContentType="application/vnd.openxmlformats-officedocument.spreadsheetml.table+xml"/>
  <Override PartName="/xl/worksheets/_rels/sheet5.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comments16.xml" ContentType="application/vnd.openxmlformats-officedocument.spreadsheetml.comments+xml"/>
  <Override PartName="/xl/styles.xml" ContentType="application/vnd.openxmlformats-officedocument.spreadsheetml.styles+xml"/>
  <Override PartName="/xl/comments8.xml" ContentType="application/vnd.openxmlformats-officedocument.spreadsheetml.comments+xml"/>
  <Override PartName="/xl/theme/theme1.xml" ContentType="application/vnd.openxmlformats-officedocument.theme+xml"/>
  <Override PartName="/xl/comments7.xml" ContentType="application/vnd.openxmlformats-officedocument.spreadsheetml.comments+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hecks" sheetId="2" state="visible" r:id="rId4"/>
    <sheet name="Tables &amp; columns" sheetId="3" state="visible" r:id="rId5"/>
    <sheet name="Choices" sheetId="4" state="visible" r:id="rId6"/>
    <sheet name="1 States" sheetId="5" state="visible" r:id="rId7"/>
    <sheet name="2 Store Location Types" sheetId="6" state="visible" r:id="rId8"/>
    <sheet name="3 ECA Users" sheetId="7" state="visible" r:id="rId9"/>
    <sheet name="4 Reports To" sheetId="8" state="visible" r:id="rId10"/>
    <sheet name="5 Channel Leads" sheetId="9" state="visible" r:id="rId11"/>
    <sheet name="6 Institutions" sheetId="10" state="visible" r:id="rId12"/>
    <sheet name="7 Campuses" sheetId="11" state="visible" r:id="rId13"/>
    <sheet name="8 Locations" sheetId="12" state="visible" r:id="rId14"/>
    <sheet name="9 Allocations" sheetId="13" state="visible" r:id="rId15"/>
    <sheet name="10 Audit Visits" sheetId="14" state="visible" r:id="rId16"/>
    <sheet name="13 Competitors" sheetId="15" state="visible" r:id="rId17"/>
    <sheet name="11 Scoring Rule Set" sheetId="16" state="visible" r:id="rId18"/>
    <sheet name="12 Distribution Settings" sheetId="17" state="visible" r:id="rId19"/>
  </sheets>
  <definedNames>
    <definedName function="false" hidden="true" localSheetId="2" name="_xlnm._FilterDatabase" vbProcedure="false">'Tables &amp; columns'!$A$1:$H$260</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5" authorId="0">
      <text>
        <r>
          <rPr>
            <sz val="10"/>
            <rFont val="Arial"/>
            <family val="2"/>
          </rPr>
          <t xml:space="preserve">Number of users in the prototype on 9 Oct 2026</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Import first WITHOUT Reports To. Fill the Email column (pale yellow) with each person’s Red Bull address before import if you use Microsoft sign-in.</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Second pass on ECA User: update Reports To. Blank = no manager set yet (the 8 VIC workbook staff).</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Store Contact is blank (masked in the prototype): copy from the v3 workbook if you want it. Type Confirmed = No: check Store Location Type, especially which stores are Convenience.</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History from the workbook: last-visit dates only, no staff, Imported = Yes. Sets visit due dates; never scores.</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RECOMMENDED starting values, not agreed. Weights must total 100 (see Checks). Effective From assumes a 1 Nov 2026 launch: change to your go-live date.</t>
        </r>
      </text>
    </comment>
  </commentList>
</comments>
</file>

<file path=xl/sharedStrings.xml><?xml version="1.0" encoding="utf-8"?>
<sst xmlns="http://schemas.openxmlformats.org/spreadsheetml/2006/main" count="9056" uniqueCount="2540">
  <si>
    <t xml:space="preserve">Education Channel Audit Tool (ECA)</t>
  </si>
  <si>
    <t xml:space="preserve">Dataverse build pack · updated 13 Oct 2026 from the ECA prototype (v29) and Education_Channel_Execution_Tracker_v3</t>
  </si>
  <si>
    <t xml:space="preserve">What this workbook is</t>
  </si>
  <si>
    <t xml:space="preserve">1. “Tables &amp; columns” is the Dataverse schema to create (publisher prefix eca_). “Choices” lists every choice set.</t>
  </si>
  <si>
    <t xml:space="preserve">2. The data sheets are ready to import into those tables, in the order below. Column headers match the column display names, so Dataverse import maps them automatically.</t>
  </si>
  <si>
    <t xml:space="preserve">3. “Checks” counts rows and flags gaps with live formulas. Get every check to OK before go-live.</t>
  </si>
  <si>
    <t xml:space="preserve">Import order (lookups must exist first)</t>
  </si>
  <si>
    <t xml:space="preserve">1 States → 2 Store Location Types → 3 ECA Users (without Reports To) → 4 ECA Users again (Reports To only) → 5 Channel Leads → 6 Institutions → 7 Campuses → 8 Locations → 9 Allocations → 10 Audit Visits (history) → 11 Scoring Rule Set → 12 Distribution Settings → 13 Competitors</t>
  </si>
  <si>
    <t xml:space="preserve">How: make.powerapps.com → Tables → open the table → Import → Import data from Excel, pick the sheet, check the mapping, Import. Lookups match on the related table’s primary name column (State Code, Full Name, Code, Campus Key, Location ID).</t>
  </si>
  <si>
    <t xml:space="preserve">Legend</t>
  </si>
  <si>
    <t xml:space="preserve">Pale yellow cells = to fill in before import (for example Red Bull emails). Everything else comes from the prototype and workbook.</t>
  </si>
  <si>
    <t xml:space="preserve">Things to know</t>
  </si>
  <si>
    <t xml:space="preserve">• Store contacts are blank: the prototype masked them. Copy them from the v3 workbook’s audit tabs, or leave blank. Only Managers and Admins can see that column.</t>
  </si>
  <si>
    <t xml:space="preserve">• Store Location Type was set automatically from the workbook (Vending; NKA flag; bar names → Student Bar; everything else QSR). Type Confirmed = No on all of them. Nothing is Convenience yet.</t>
  </si>
  <si>
    <t xml:space="preserve">• The 103 visit rows are the workbook’s last-visit dates. They have no staff member and are marked Imported, so they set visit due dates but never score.</t>
  </si>
  <si>
    <t xml:space="preserve">• SA Student Marketeers report to Teneisha Clarisse. The 8 VIC workbook staff have no Reports To yet. Bronte Stock is a QLD Manager with nobody reporting to her. Renee Christison is listed as a Student Marketeer (title Senior Field Marketing Specialist).</t>
  </si>
  <si>
    <t xml:space="preserve">• The leaderboard demo activity in the prototype is NOT included. Production starts from real audits.</t>
  </si>
  <si>
    <t xml:space="preserve">• Scoring weights are recommendations to confirm with Sales.</t>
  </si>
  <si>
    <t xml:space="preserve">• New since 9 Oct: universities and TAFEs for every state (Adelaide University reflects the 2026 merger), store contact columns, Red Bull and competitor front facings, the Competitor / Location Competitor / Visit Competitor tables, institution logos and the Monthly Report table.</t>
  </si>
  <si>
    <t xml:space="preserve">• NSW, QLD, SA and WA institutions have no audit locations yet; they are added in the app (or imported here later).</t>
  </si>
  <si>
    <t xml:space="preserve">Sheet notes (also shown as a comment on each sheet’s first header)</t>
  </si>
  <si>
    <t xml:space="preserve">3 ECA Users: Import first WITHOUT Reports To. Fill the Email column (pale yellow) with each person’s Red Bull address before import if you use Microsoft sign-in.</t>
  </si>
  <si>
    <t xml:space="preserve">4 Reports To: Second pass on ECA User: update Reports To. Blank = no manager set yet (the 8 VIC workbook staff).</t>
  </si>
  <si>
    <t xml:space="preserve">8 Locations: Store Contact is blank (masked in the prototype): copy from the v3 workbook if you want it. Type Confirmed = No: check Store Location Type, especially which stores are Convenience.</t>
  </si>
  <si>
    <t xml:space="preserve">10 Audit Visits: History from the workbook: last-visit dates only, no staff, Imported = Yes. Sets visit due dates; never scores.</t>
  </si>
  <si>
    <t xml:space="preserve">11 Scoring Rule Set: RECOMMENDED starting values, not agreed. Weights must total 100 (see Checks). Effective From assumes a 1 Nov 2026 launch: change to your go-live date.</t>
  </si>
  <si>
    <t xml:space="preserve">Header row is row 1 on every data sheet, as Dataverse import expects. Remove nothing above the headers.</t>
  </si>
  <si>
    <t xml:space="preserve">Data checks</t>
  </si>
  <si>
    <t xml:space="preserve">Live formulas over the data sheets. Fix anything not OK before import.</t>
  </si>
  <si>
    <t xml:space="preserve">Check</t>
  </si>
  <si>
    <t xml:space="preserve">Value</t>
  </si>
  <si>
    <t xml:space="preserve">Expected</t>
  </si>
  <si>
    <t xml:space="preserve">Result</t>
  </si>
  <si>
    <t xml:space="preserve">ECA Users loaded</t>
  </si>
  <si>
    <t xml:space="preserve">…of which Student Marketeers</t>
  </si>
  <si>
    <t xml:space="preserve">info</t>
  </si>
  <si>
    <t xml:space="preserve">…of which Managers</t>
  </si>
  <si>
    <t xml:space="preserve">…of which Administrators</t>
  </si>
  <si>
    <t xml:space="preserve">Users without an email (needed for Microsoft sign-in and results emails)</t>
  </si>
  <si>
    <t xml:space="preserve">Duplicate full names (need a Disambiguation Label)</t>
  </si>
  <si>
    <t xml:space="preserve">Student Marketeers with no Reports To</t>
  </si>
  <si>
    <t xml:space="preserve">Reports To names not found as a Manager</t>
  </si>
  <si>
    <t xml:space="preserve">Non-admins with no State</t>
  </si>
  <si>
    <t xml:space="preserve">Channel Leads not on the user list</t>
  </si>
  <si>
    <t xml:space="preserve">Locations loaded</t>
  </si>
  <si>
    <t xml:space="preserve">Duplicate Location IDs</t>
  </si>
  <si>
    <t xml:space="preserve">Locations whose campus is not in Campuses</t>
  </si>
  <si>
    <t xml:space="preserve">Locations with an invalid Store Location Type</t>
  </si>
  <si>
    <t xml:space="preserve">Store location type: QSR</t>
  </si>
  <si>
    <t xml:space="preserve">Store location type: Vending</t>
  </si>
  <si>
    <t xml:space="preserve">Store location type: Student Bar</t>
  </si>
  <si>
    <t xml:space="preserve">Store location type: Convenience</t>
  </si>
  <si>
    <t xml:space="preserve">Store location type: NKA</t>
  </si>
  <si>
    <t xml:space="preserve">Store types still to confirm</t>
  </si>
  <si>
    <t xml:space="preserve">Visit history rows</t>
  </si>
  <si>
    <t xml:space="preserve">Visits pointing at an unknown location</t>
  </si>
  <si>
    <t xml:space="preserve">Scoring weights total</t>
  </si>
  <si>
    <t xml:space="preserve">Table</t>
  </si>
  <si>
    <t xml:space="preserve">Table logical name</t>
  </si>
  <si>
    <t xml:space="preserve">Column</t>
  </si>
  <si>
    <t xml:space="preserve">Column logical name</t>
  </si>
  <si>
    <t xml:space="preserve">Data type</t>
  </si>
  <si>
    <t xml:space="preserve">Required</t>
  </si>
  <si>
    <t xml:space="preserve">Default / behaviour</t>
  </si>
  <si>
    <t xml:space="preserve">Notes</t>
  </si>
  <si>
    <t xml:space="preserve">State</t>
  </si>
  <si>
    <t xml:space="preserve">eca_state</t>
  </si>
  <si>
    <t xml:space="preserve">(table)</t>
  </si>
  <si>
    <t xml:space="preserve">One row per state. Business Unit of the same name owns the state’s records.</t>
  </si>
  <si>
    <t xml:space="preserve">State Code</t>
  </si>
  <si>
    <t xml:space="preserve">eca_name</t>
  </si>
  <si>
    <t xml:space="preserve">Text (10) · Primary name</t>
  </si>
  <si>
    <t xml:space="preserve">VIC, NSW, QLD, SA, WA</t>
  </si>
  <si>
    <t xml:space="preserve">State Name</t>
  </si>
  <si>
    <t xml:space="preserve">eca_statename</t>
  </si>
  <si>
    <t xml:space="preserve">Text (100)</t>
  </si>
  <si>
    <t xml:space="preserve">Store Location Type</t>
  </si>
  <si>
    <t xml:space="preserve">eca_storelocationtype</t>
  </si>
  <si>
    <t xml:space="preserve">Admin-managed dropdown for every audit location.</t>
  </si>
  <si>
    <t xml:space="preserve">Name</t>
  </si>
  <si>
    <t xml:space="preserve">Text (100) · Primary name</t>
  </si>
  <si>
    <t xml:space="preserve">QSR, Vending, Student Bar, Convenience, NKA</t>
  </si>
  <si>
    <t xml:space="preserve">Active</t>
  </si>
  <si>
    <t xml:space="preserve">eca_active</t>
  </si>
  <si>
    <t xml:space="preserve">Yes/No</t>
  </si>
  <si>
    <t xml:space="preserve">Default Yes</t>
  </si>
  <si>
    <t xml:space="preserve">No = hidden from new records, kept on history</t>
  </si>
  <si>
    <t xml:space="preserve">Uses Vending Fields</t>
  </si>
  <si>
    <t xml:space="preserve">eca_usesvendingfields</t>
  </si>
  <si>
    <t xml:space="preserve">Default No</t>
  </si>
  <si>
    <t xml:space="preserve">Yes for Vending: form shows machine fields</t>
  </si>
  <si>
    <t xml:space="preserve">Sort Order</t>
  </si>
  <si>
    <t xml:space="preserve">eca_sortorder</t>
  </si>
  <si>
    <t xml:space="preserve">Whole number</t>
  </si>
  <si>
    <t xml:space="preserve">Optional</t>
  </si>
  <si>
    <t xml:space="preserve">ECA User</t>
  </si>
  <si>
    <t xml:space="preserve">eca_ecauser</t>
  </si>
  <si>
    <t xml:space="preserve">The approved user list. Every audit, approval and score points at this table by ID, never by name.</t>
  </si>
  <si>
    <t xml:space="preserve">Full Name</t>
  </si>
  <si>
    <t xml:space="preserve">Text (200) · Primary name</t>
  </si>
  <si>
    <t xml:space="preserve">Display name, e.g. Charlotte Terrell</t>
  </si>
  <si>
    <t xml:space="preserve">First Name</t>
  </si>
  <si>
    <t xml:space="preserve">eca_firstname</t>
  </si>
  <si>
    <t xml:space="preserve">Last Name</t>
  </si>
  <si>
    <t xml:space="preserve">eca_lastname</t>
  </si>
  <si>
    <t xml:space="preserve">Normalised Name</t>
  </si>
  <si>
    <t xml:space="preserve">eca_normalisedname</t>
  </si>
  <si>
    <t xml:space="preserve">Text (200)</t>
  </si>
  <si>
    <t xml:space="preserve">Set by flow / Power Fx on save</t>
  </si>
  <si>
    <t xml:space="preserve">lower case, no accents, hyphens and apostrophes as spaces; used for name sign-in</t>
  </si>
  <si>
    <t xml:space="preserve">Aliases</t>
  </si>
  <si>
    <t xml:space="preserve">eca_aliases</t>
  </si>
  <si>
    <t xml:space="preserve">Text (400)</t>
  </si>
  <si>
    <t xml:space="preserve">Comma separated other names, e.g. preferred first name</t>
  </si>
  <si>
    <t xml:space="preserve">Disambiguation Label</t>
  </si>
  <si>
    <t xml:space="preserve">eca_disambiguation</t>
  </si>
  <si>
    <t xml:space="preserve">Required when two users share a name</t>
  </si>
  <si>
    <t xml:space="preserve">Role</t>
  </si>
  <si>
    <t xml:space="preserve">eca_role</t>
  </si>
  <si>
    <t xml:space="preserve">Choice: ECA Role</t>
  </si>
  <si>
    <t xml:space="preserve">Lookup → State</t>
  </si>
  <si>
    <t xml:space="preserve">Blank for national Administrators</t>
  </si>
  <si>
    <t xml:space="preserve">Reports To</t>
  </si>
  <si>
    <t xml:space="preserve">eca_reportsto</t>
  </si>
  <si>
    <t xml:space="preserve">Lookup → ECA User</t>
  </si>
  <si>
    <t xml:space="preserve">Student Marketeers → their Manager</t>
  </si>
  <si>
    <t xml:space="preserve">Status</t>
  </si>
  <si>
    <t xml:space="preserve">eca_status</t>
  </si>
  <si>
    <t xml:space="preserve">Choice: Active / Inactive</t>
  </si>
  <si>
    <t xml:space="preserve">Default Active</t>
  </si>
  <si>
    <t xml:space="preserve">Email</t>
  </si>
  <si>
    <t xml:space="preserve">eca_email</t>
  </si>
  <si>
    <t xml:space="preserve">Email (200)</t>
  </si>
  <si>
    <t xml:space="preserve">Red Bull email. Needed for Microsoft sign-in and for results emails</t>
  </si>
  <si>
    <t xml:space="preserve">Entra User</t>
  </si>
  <si>
    <t xml:space="preserve">eca_systemuser</t>
  </si>
  <si>
    <t xml:space="preserve">Lookup → User (systemuser)</t>
  </si>
  <si>
    <t xml:space="preserve">Links the record to the person’s Microsoft account</t>
  </si>
  <si>
    <t xml:space="preserve">Last Sign-in</t>
  </si>
  <si>
    <t xml:space="preserve">eca_lastsignin</t>
  </si>
  <si>
    <t xml:space="preserve">Date and time</t>
  </si>
  <si>
    <t xml:space="preserve">Channel Lead</t>
  </si>
  <si>
    <t xml:space="preserve">eca_channellead</t>
  </si>
  <si>
    <t xml:space="preserve">Education Channel Leads per state: approve removals, finalise and send results.</t>
  </si>
  <si>
    <t xml:space="preserve">e.g. VIC – Keane Vivas</t>
  </si>
  <si>
    <t xml:space="preserve">Lead</t>
  </si>
  <si>
    <t xml:space="preserve">eca_lead</t>
  </si>
  <si>
    <t xml:space="preserve">Institution</t>
  </si>
  <si>
    <t xml:space="preserve">eca_institution</t>
  </si>
  <si>
    <t xml:space="preserve">Universities and TAFEs.</t>
  </si>
  <si>
    <t xml:space="preserve">Code</t>
  </si>
  <si>
    <t xml:space="preserve">MON, RMIT … also the Location ID prefix</t>
  </si>
  <si>
    <t xml:space="preserve">Institution Name</t>
  </si>
  <si>
    <t xml:space="preserve">eca_institutionname</t>
  </si>
  <si>
    <t xml:space="preserve">Short Name</t>
  </si>
  <si>
    <t xml:space="preserve">eca_shortname</t>
  </si>
  <si>
    <t xml:space="preserve">Text (60)</t>
  </si>
  <si>
    <t xml:space="preserve">Kind</t>
  </si>
  <si>
    <t xml:space="preserve">eca_kind</t>
  </si>
  <si>
    <t xml:space="preserve">Choice: University / TAFE</t>
  </si>
  <si>
    <t xml:space="preserve">Choice: Active / Removed</t>
  </si>
  <si>
    <t xml:space="preserve">Note</t>
  </si>
  <si>
    <t xml:space="preserve">eca_note</t>
  </si>
  <si>
    <t xml:space="preserve">Logo</t>
  </si>
  <si>
    <t xml:space="preserve">eca_logo</t>
  </si>
  <si>
    <t xml:space="preserve">Image</t>
  </si>
  <si>
    <t xml:space="preserve">Official logo file uploaded by an Admin or Manager; tiles show the code when blank</t>
  </si>
  <si>
    <t xml:space="preserve">Campus</t>
  </si>
  <si>
    <t xml:space="preserve">eca_campus</t>
  </si>
  <si>
    <t xml:space="preserve">Campus Key</t>
  </si>
  <si>
    <t xml:space="preserve">Text (120) · Primary name</t>
  </si>
  <si>
    <t xml:space="preserve">Institution code + campus, e.g. MON – Clayton (unique, used by imports)</t>
  </si>
  <si>
    <t xml:space="preserve">Campus Name</t>
  </si>
  <si>
    <t xml:space="preserve">eca_campusname</t>
  </si>
  <si>
    <t xml:space="preserve">Lookup → Institution</t>
  </si>
  <si>
    <t xml:space="preserve">Location</t>
  </si>
  <si>
    <t xml:space="preserve">eca_location</t>
  </si>
  <si>
    <t xml:space="preserve">Every QSR store and vending machine.</t>
  </si>
  <si>
    <t xml:space="preserve">Location ID</t>
  </si>
  <si>
    <t xml:space="preserve">Text (20) · Primary name</t>
  </si>
  <si>
    <t xml:space="preserve">Alternate key</t>
  </si>
  <si>
    <t xml:space="preserve">MON-012 (store) or MON-VM-012 (vending). Never reused</t>
  </si>
  <si>
    <t xml:space="preserve">Location Name</t>
  </si>
  <si>
    <t xml:space="preserve">eca_locationname</t>
  </si>
  <si>
    <t xml:space="preserve">Lookup → Campus</t>
  </si>
  <si>
    <t xml:space="preserve">Lookup → Store Location Type</t>
  </si>
  <si>
    <t xml:space="preserve">Type Confirmed</t>
  </si>
  <si>
    <t xml:space="preserve">eca_typeconfirmed</t>
  </si>
  <si>
    <t xml:space="preserve">No = classified automatically from the workbook</t>
  </si>
  <si>
    <t xml:space="preserve">Choice: Active / Paused / Removed</t>
  </si>
  <si>
    <t xml:space="preserve">Date Added</t>
  </si>
  <si>
    <t xml:space="preserve">eca_dateadded</t>
  </si>
  <si>
    <t xml:space="preserve">Date only</t>
  </si>
  <si>
    <t xml:space="preserve">Visit Cycle (days)</t>
  </si>
  <si>
    <t xml:space="preserve">eca_visitcycledays</t>
  </si>
  <si>
    <t xml:space="preserve">Whole number 1–365</t>
  </si>
  <si>
    <t xml:space="preserve">Default 14</t>
  </si>
  <si>
    <t xml:space="preserve">Address</t>
  </si>
  <si>
    <t xml:space="preserve">eca_address</t>
  </si>
  <si>
    <t xml:space="preserve">Text (300)</t>
  </si>
  <si>
    <t xml:space="preserve">Postcode</t>
  </si>
  <si>
    <t xml:space="preserve">eca_postcode</t>
  </si>
  <si>
    <t xml:space="preserve">Text (10)</t>
  </si>
  <si>
    <t xml:space="preserve">Landmark</t>
  </si>
  <si>
    <t xml:space="preserve">eca_landmark</t>
  </si>
  <si>
    <t xml:space="preserve">Building</t>
  </si>
  <si>
    <t xml:space="preserve">eca_building</t>
  </si>
  <si>
    <t xml:space="preserve">Level</t>
  </si>
  <si>
    <t xml:space="preserve">eca_level</t>
  </si>
  <si>
    <t xml:space="preserve">Text (50)</t>
  </si>
  <si>
    <t xml:space="preserve">Ranged: Energy Drink</t>
  </si>
  <si>
    <t xml:space="preserve">eca_rg_ed</t>
  </si>
  <si>
    <t xml:space="preserve">Choice: Yes / No (blank = not checked)</t>
  </si>
  <si>
    <t xml:space="preserve">Red Bull SKU, scores ranging %</t>
  </si>
  <si>
    <t xml:space="preserve">Ranged: Sugarfree</t>
  </si>
  <si>
    <t xml:space="preserve">eca_rg_sf</t>
  </si>
  <si>
    <t xml:space="preserve">Ranged: Zero</t>
  </si>
  <si>
    <t xml:space="preserve">eca_rg_zero</t>
  </si>
  <si>
    <t xml:space="preserve">Ranged: Editions</t>
  </si>
  <si>
    <t xml:space="preserve">eca_rg_editions</t>
  </si>
  <si>
    <t xml:space="preserve">Ranged: Monster</t>
  </si>
  <si>
    <t xml:space="preserve">eca_rg_monster</t>
  </si>
  <si>
    <t xml:space="preserve">Competitor</t>
  </si>
  <si>
    <t xml:space="preserve">Ranged: Monster Ultra</t>
  </si>
  <si>
    <t xml:space="preserve">eca_rg_monsterultra</t>
  </si>
  <si>
    <t xml:space="preserve">Ranged: V</t>
  </si>
  <si>
    <t xml:space="preserve">eca_rg_v</t>
  </si>
  <si>
    <t xml:space="preserve">Ranged: V Sugarfree</t>
  </si>
  <si>
    <t xml:space="preserve">eca_rg_vsf</t>
  </si>
  <si>
    <t xml:space="preserve">Ranged: V Blue</t>
  </si>
  <si>
    <t xml:space="preserve">eca_rg_vblue</t>
  </si>
  <si>
    <t xml:space="preserve">Ranged: Solo Energy</t>
  </si>
  <si>
    <t xml:space="preserve">eca_rg_solo</t>
  </si>
  <si>
    <t xml:space="preserve">POS Present</t>
  </si>
  <si>
    <t xml:space="preserve">eca_pospresent</t>
  </si>
  <si>
    <t xml:space="preserve">Choice: Yes / No</t>
  </si>
  <si>
    <t xml:space="preserve">Cooler Present</t>
  </si>
  <si>
    <t xml:space="preserve">eca_coolerpresent</t>
  </si>
  <si>
    <t xml:space="preserve">Red Bull Price</t>
  </si>
  <si>
    <t xml:space="preserve">eca_redbullprice</t>
  </si>
  <si>
    <t xml:space="preserve">Currency</t>
  </si>
  <si>
    <t xml:space="preserve">Top Competitor</t>
  </si>
  <si>
    <t xml:space="preserve">eca_topcompetitor</t>
  </si>
  <si>
    <t xml:space="preserve">Competitor Price</t>
  </si>
  <si>
    <t xml:space="preserve">eca_competitorprice</t>
  </si>
  <si>
    <t xml:space="preserve">Bullring or Bull’s Eye</t>
  </si>
  <si>
    <t xml:space="preserve">eca_bull</t>
  </si>
  <si>
    <t xml:space="preserve">Choice: EYE / RING</t>
  </si>
  <si>
    <t xml:space="preserve">Channel</t>
  </si>
  <si>
    <t xml:space="preserve">eca_channel</t>
  </si>
  <si>
    <t xml:space="preserve">Choice: OnP / OffP</t>
  </si>
  <si>
    <t xml:space="preserve">Classification</t>
  </si>
  <si>
    <t xml:space="preserve">eca_classification</t>
  </si>
  <si>
    <t xml:space="preserve">Choice: A / B / C / D</t>
  </si>
  <si>
    <t xml:space="preserve">IND or NKA</t>
  </si>
  <si>
    <t xml:space="preserve">eca_indnka</t>
  </si>
  <si>
    <t xml:space="preserve">Choice: IND / NKA</t>
  </si>
  <si>
    <t xml:space="preserve">Red Bull Owner</t>
  </si>
  <si>
    <t xml:space="preserve">eca_redbullowner</t>
  </si>
  <si>
    <t xml:space="preserve">Store Contact (legacy)</t>
  </si>
  <si>
    <t xml:space="preserve">eca_storecontact</t>
  </si>
  <si>
    <t xml:space="preserve">Column security: Managers and Admins only</t>
  </si>
  <si>
    <t xml:space="preserve">Masked value from the workbook; superseded by the four contact columns</t>
  </si>
  <si>
    <t xml:space="preserve">Contact Name</t>
  </si>
  <si>
    <t xml:space="preserve">eca_contactname</t>
  </si>
  <si>
    <t xml:space="preserve">Set from the latest audit</t>
  </si>
  <si>
    <t xml:space="preserve">Person spoken to; visible to everyone in the state</t>
  </si>
  <si>
    <t xml:space="preserve">Contact Role</t>
  </si>
  <si>
    <t xml:space="preserve">eca_contactrole</t>
  </si>
  <si>
    <t xml:space="preserve">Choice: ECA Contact Role</t>
  </si>
  <si>
    <t xml:space="preserve">Contact Phone</t>
  </si>
  <si>
    <t xml:space="preserve">eca_contactphone</t>
  </si>
  <si>
    <t xml:space="preserve">Phone (30)</t>
  </si>
  <si>
    <t xml:space="preserve">Column security: Managers and Admins read; Student Marketeers write only</t>
  </si>
  <si>
    <t xml:space="preserve">Kept if an audit leaves it blank</t>
  </si>
  <si>
    <t xml:space="preserve">Contact Email</t>
  </si>
  <si>
    <t xml:space="preserve">eca_contactemail</t>
  </si>
  <si>
    <t xml:space="preserve">Contact Recorded On</t>
  </si>
  <si>
    <t xml:space="preserve">eca_contactrecordedon</t>
  </si>
  <si>
    <t xml:space="preserve">Contact Recorded By</t>
  </si>
  <si>
    <t xml:space="preserve">eca_contactrecordedby</t>
  </si>
  <si>
    <t xml:space="preserve">Red Bull Front Facings</t>
  </si>
  <si>
    <t xml:space="preserve">eca_rbfacings</t>
  </si>
  <si>
    <t xml:space="preserve">Whole number ≥ 0</t>
  </si>
  <si>
    <t xml:space="preserve">Set from the latest completed audit</t>
  </si>
  <si>
    <t xml:space="preserve">Facings Recorded On</t>
  </si>
  <si>
    <t xml:space="preserve">eca_facingsrecordedon</t>
  </si>
  <si>
    <t xml:space="preserve">Vending Company</t>
  </si>
  <si>
    <t xml:space="preserve">eca_vendingcompany</t>
  </si>
  <si>
    <t xml:space="preserve">Machine ID</t>
  </si>
  <si>
    <t xml:space="preserve">eca_machineid</t>
  </si>
  <si>
    <t xml:space="preserve">V SKU Count</t>
  </si>
  <si>
    <t xml:space="preserve">eca_vskucount</t>
  </si>
  <si>
    <t xml:space="preserve">V Price</t>
  </si>
  <si>
    <t xml:space="preserve">eca_vprice</t>
  </si>
  <si>
    <t xml:space="preserve">Monster SKU Count</t>
  </si>
  <si>
    <t xml:space="preserve">eca_monsterskucount</t>
  </si>
  <si>
    <t xml:space="preserve">Monster Price</t>
  </si>
  <si>
    <t xml:space="preserve">eca_monsterprice</t>
  </si>
  <si>
    <t xml:space="preserve">Latest Note</t>
  </si>
  <si>
    <t xml:space="preserve">eca_latestnote</t>
  </si>
  <si>
    <t xml:space="preserve">Multiline text (2000)</t>
  </si>
  <si>
    <t xml:space="preserve">Last Completed Visit</t>
  </si>
  <si>
    <t xml:space="preserve">eca_lastcompletedvisit</t>
  </si>
  <si>
    <t xml:space="preserve">Set by flow on approved/complete visit</t>
  </si>
  <si>
    <t xml:space="preserve">Next Due</t>
  </si>
  <si>
    <t xml:space="preserve">eca_nextdue</t>
  </si>
  <si>
    <t xml:space="preserve">Formula column: Last Completed Visit (or Date Added) + Visit Cycle</t>
  </si>
  <si>
    <t xml:space="preserve">Allocation</t>
  </si>
  <si>
    <t xml:space="preserve">eca_allocation</t>
  </si>
  <si>
    <t xml:space="preserve">Who usually covers which campus (guidance, not a lock).</t>
  </si>
  <si>
    <t xml:space="preserve">Person – Institution – Campus</t>
  </si>
  <si>
    <t xml:space="preserve">Staff Member</t>
  </si>
  <si>
    <t xml:space="preserve">eca_staffmember</t>
  </si>
  <si>
    <t xml:space="preserve">eca_campustext</t>
  </si>
  <si>
    <t xml:space="preserve">“All” or a campus name</t>
  </si>
  <si>
    <t xml:space="preserve">eca_competitor</t>
  </si>
  <si>
    <t xml:space="preserve">Competitor brands for front facings and competitor execution.</t>
  </si>
  <si>
    <t xml:space="preserve">Monster, V, Solo Energy, Rockstar, Celsius, plus any added in the field</t>
  </si>
  <si>
    <t xml:space="preserve">Active ones show as tick chips in audit step 3</t>
  </si>
  <si>
    <t xml:space="preserve">Added From Field</t>
  </si>
  <si>
    <t xml:space="preserve">eca_addedfromfield</t>
  </si>
  <si>
    <t xml:space="preserve">Yes = typed in by a Student Marketeer via Add competitor; Admin to review</t>
  </si>
  <si>
    <t xml:space="preserve">Location Competitor</t>
  </si>
  <si>
    <t xml:space="preserve">eca_locationcompetitor</t>
  </si>
  <si>
    <t xml:space="preserve">Latest competitor picture per location (replaced on every completed audit). Pre-ticks competitors at the next audit.</t>
  </si>
  <si>
    <t xml:space="preserve">Location ID – competitor</t>
  </si>
  <si>
    <t xml:space="preserve">Lookup → Location</t>
  </si>
  <si>
    <t xml:space="preserve">Lookup → Competitor</t>
  </si>
  <si>
    <t xml:space="preserve">Front Facings</t>
  </si>
  <si>
    <t xml:space="preserve">eca_facings</t>
  </si>
  <si>
    <t xml:space="preserve">Price</t>
  </si>
  <si>
    <t xml:space="preserve">eca_price</t>
  </si>
  <si>
    <t xml:space="preserve">POS Pieces</t>
  </si>
  <si>
    <t xml:space="preserve">eca_pospieces</t>
  </si>
  <si>
    <t xml:space="preserve">Stores only, not vending</t>
  </si>
  <si>
    <t xml:space="preserve">Coolers</t>
  </si>
  <si>
    <t xml:space="preserve">eca_coolers</t>
  </si>
  <si>
    <t xml:space="preserve">Audit Visit</t>
  </si>
  <si>
    <t xml:space="preserve">eca_auditvisit</t>
  </si>
  <si>
    <t xml:space="preserve">Every visit. Only Completed + Approved + named Student Marketeer + not imported counts on the leaderboard.</t>
  </si>
  <si>
    <t xml:space="preserve">Visit ID</t>
  </si>
  <si>
    <t xml:space="preserve">Autonumber or text · Primary name</t>
  </si>
  <si>
    <t xml:space="preserve">e.g. MON-V0001</t>
  </si>
  <si>
    <t xml:space="preserve">Visit Date</t>
  </si>
  <si>
    <t xml:space="preserve">eca_visitdate</t>
  </si>
  <si>
    <t xml:space="preserve">Visit Time</t>
  </si>
  <si>
    <t xml:space="preserve">eca_visittime</t>
  </si>
  <si>
    <t xml:space="preserve">Text (5)</t>
  </si>
  <si>
    <t xml:space="preserve">HH:MM local</t>
  </si>
  <si>
    <t xml:space="preserve">Blank only on imported history</t>
  </si>
  <si>
    <t xml:space="preserve">Visit Status</t>
  </si>
  <si>
    <t xml:space="preserve">eca_visitstatus</t>
  </si>
  <si>
    <t xml:space="preserve">Choice: Completed / Scheduled / Cancelled</t>
  </si>
  <si>
    <t xml:space="preserve">Approval Status</t>
  </si>
  <si>
    <t xml:space="preserve">eca_approvalstatus</t>
  </si>
  <si>
    <t xml:space="preserve">Choice: Pending / Approved / Rejected / Duplicate</t>
  </si>
  <si>
    <t xml:space="preserve">Completed visits only</t>
  </si>
  <si>
    <t xml:space="preserve">Approved By</t>
  </si>
  <si>
    <t xml:space="preserve">eca_approvedby</t>
  </si>
  <si>
    <t xml:space="preserve">Approved On</t>
  </si>
  <si>
    <t xml:space="preserve">eca_approvedon</t>
  </si>
  <si>
    <t xml:space="preserve">Reject Reason</t>
  </si>
  <si>
    <t xml:space="preserve">eca_rejectreason</t>
  </si>
  <si>
    <t xml:space="preserve">Duplicate Of</t>
  </si>
  <si>
    <t xml:space="preserve">eca_duplicateof</t>
  </si>
  <si>
    <t xml:space="preserve">Lookup → Audit Visit</t>
  </si>
  <si>
    <t xml:space="preserve">Reporting Month</t>
  </si>
  <si>
    <t xml:space="preserve">eca_reportingmonth</t>
  </si>
  <si>
    <t xml:space="preserve">Text (7)</t>
  </si>
  <si>
    <t xml:space="preserve">Formula column</t>
  </si>
  <si>
    <t xml:space="preserve">YYYY-MM from Visit Date</t>
  </si>
  <si>
    <t xml:space="preserve">DPs Added</t>
  </si>
  <si>
    <t xml:space="preserve">eca_dpsadded</t>
  </si>
  <si>
    <t xml:space="preserve">Default 0</t>
  </si>
  <si>
    <t xml:space="preserve">DPs Lost</t>
  </si>
  <si>
    <t xml:space="preserve">eca_dpslost</t>
  </si>
  <si>
    <t xml:space="preserve">Editions Sold In</t>
  </si>
  <si>
    <t xml:space="preserve">eca_editionssold</t>
  </si>
  <si>
    <t xml:space="preserve">Edition Flavours</t>
  </si>
  <si>
    <t xml:space="preserve">eca_editionflavours</t>
  </si>
  <si>
    <t xml:space="preserve">POS Placed</t>
  </si>
  <si>
    <t xml:space="preserve">eca_posplaced</t>
  </si>
  <si>
    <t xml:space="preserve">POS Type</t>
  </si>
  <si>
    <t xml:space="preserve">eca_postype</t>
  </si>
  <si>
    <t xml:space="preserve">Choice: ECA POS Type</t>
  </si>
  <si>
    <t xml:space="preserve">Coolers Installed</t>
  </si>
  <si>
    <t xml:space="preserve">eca_coolersin</t>
  </si>
  <si>
    <t xml:space="preserve">Coolers Removed</t>
  </si>
  <si>
    <t xml:space="preserve">eca_coolersout</t>
  </si>
  <si>
    <t xml:space="preserve">Ranging Answers</t>
  </si>
  <si>
    <t xml:space="preserve">eca_rangingjson</t>
  </si>
  <si>
    <t xml:space="preserve">Multiline text</t>
  </si>
  <si>
    <t xml:space="preserve">JSON of Yes/No per SKU on this visit (used for ranging %)</t>
  </si>
  <si>
    <t xml:space="preserve">Ranging %</t>
  </si>
  <si>
    <t xml:space="preserve">eca_rangingpct</t>
  </si>
  <si>
    <t xml:space="preserve">Decimal 0–100</t>
  </si>
  <si>
    <t xml:space="preserve">Set by app on submit</t>
  </si>
  <si>
    <t xml:space="preserve">Red Bull SKUs ranged ÷ applicable</t>
  </si>
  <si>
    <t xml:space="preserve">eca_notes</t>
  </si>
  <si>
    <t xml:space="preserve">Multiline text (4000)</t>
  </si>
  <si>
    <t xml:space="preserve">Next Step</t>
  </si>
  <si>
    <t xml:space="preserve">eca_nextstep</t>
  </si>
  <si>
    <t xml:space="preserve">Follow-up Date</t>
  </si>
  <si>
    <t xml:space="preserve">eca_followup</t>
  </si>
  <si>
    <t xml:space="preserve">Issue</t>
  </si>
  <si>
    <t xml:space="preserve">eca_issue</t>
  </si>
  <si>
    <t xml:space="preserve">Photo Count</t>
  </si>
  <si>
    <t xml:space="preserve">eca_photocount</t>
  </si>
  <si>
    <t xml:space="preserve">Photos stored as Notes/attachments or a File column</t>
  </si>
  <si>
    <t xml:space="preserve">Imported</t>
  </si>
  <si>
    <t xml:space="preserve">eca_imported</t>
  </si>
  <si>
    <t xml:space="preserve">Yes = history from the workbook, never scores</t>
  </si>
  <si>
    <t xml:space="preserve">Correction Reason</t>
  </si>
  <si>
    <t xml:space="preserve">eca_correctionreason</t>
  </si>
  <si>
    <t xml:space="preserve">Required when edited after the month is final</t>
  </si>
  <si>
    <t xml:space="preserve">Required for Completed visits</t>
  </si>
  <si>
    <t xml:space="preserve">Who the Student Marketeer spoke to (step 1)</t>
  </si>
  <si>
    <t xml:space="preserve">Set by app</t>
  </si>
  <si>
    <t xml:space="preserve">Competitor with most facings; kept for older reports</t>
  </si>
  <si>
    <t xml:space="preserve">Price of the top competitor</t>
  </si>
  <si>
    <t xml:space="preserve">Red Bull POS Present</t>
  </si>
  <si>
    <t xml:space="preserve">eca_rbpospresent</t>
  </si>
  <si>
    <t xml:space="preserve">Red Bull Cooler Present</t>
  </si>
  <si>
    <t xml:space="preserve">eca_rbcoolerpresent</t>
  </si>
  <si>
    <t xml:space="preserve">Competitor Front Facings</t>
  </si>
  <si>
    <t xml:space="preserve">eca_compfacings</t>
  </si>
  <si>
    <t xml:space="preserve">Rollup: sum of Visit Competitor facings</t>
  </si>
  <si>
    <t xml:space="preserve">Share of Shelf %</t>
  </si>
  <si>
    <t xml:space="preserve">eca_shareofshelf</t>
  </si>
  <si>
    <t xml:space="preserve">Formula: Red Bull ÷ (Red Bull + competitor) facings</t>
  </si>
  <si>
    <t xml:space="preserve">Competitor POS Seen</t>
  </si>
  <si>
    <t xml:space="preserve">eca_comppos</t>
  </si>
  <si>
    <t xml:space="preserve">Rollup: sum of Visit Competitor POS</t>
  </si>
  <si>
    <t xml:space="preserve">Competitor Coolers Seen</t>
  </si>
  <si>
    <t xml:space="preserve">eca_compcoolers</t>
  </si>
  <si>
    <t xml:space="preserve">Rollup: sum of Visit Competitor coolers</t>
  </si>
  <si>
    <t xml:space="preserve">Visit Competitor</t>
  </si>
  <si>
    <t xml:space="preserve">eca_visitcompetitor</t>
  </si>
  <si>
    <t xml:space="preserve">One row per competitor recorded on an audit (step 3). Any number per visit.</t>
  </si>
  <si>
    <t xml:space="preserve">Visit ID – competitor</t>
  </si>
  <si>
    <t xml:space="preserve">Parental (cascade delete)</t>
  </si>
  <si>
    <t xml:space="preserve">Stores only</t>
  </si>
  <si>
    <t xml:space="preserve">Monthly Report</t>
  </si>
  <si>
    <t xml:space="preserve">eca_monthlyreport</t>
  </si>
  <si>
    <t xml:space="preserve">Optional in production: Power Automate writes one row per generated report so the Notifications screen can list and download them.</t>
  </si>
  <si>
    <t xml:space="preserve">e.g. 2026-09 · VIC · State summary</t>
  </si>
  <si>
    <t xml:space="preserve">Month</t>
  </si>
  <si>
    <t xml:space="preserve">eca_month</t>
  </si>
  <si>
    <t xml:space="preserve">YYYY-MM</t>
  </si>
  <si>
    <t xml:space="preserve">Report Type</t>
  </si>
  <si>
    <t xml:space="preserve">eca_reporttype</t>
  </si>
  <si>
    <t xml:space="preserve">Choice: State summary / National breakdown / Audit export</t>
  </si>
  <si>
    <t xml:space="preserve">Blank = all states</t>
  </si>
  <si>
    <t xml:space="preserve">Generated On</t>
  </si>
  <si>
    <t xml:space="preserve">eca_generatedon</t>
  </si>
  <si>
    <t xml:space="preserve">Summaries: 1st of next month 08:00. Audit export: last calendar day 18:00</t>
  </si>
  <si>
    <t xml:space="preserve">File</t>
  </si>
  <si>
    <t xml:space="preserve">eca_file</t>
  </si>
  <si>
    <t xml:space="preserve">File (Excel)</t>
  </si>
  <si>
    <t xml:space="preserve">The generated .xlsx (audit export includes the Dashboard sheet with charts)</t>
  </si>
  <si>
    <t xml:space="preserve">Recipients</t>
  </si>
  <si>
    <t xml:space="preserve">eca_recipients</t>
  </si>
  <si>
    <t xml:space="preserve">Text (2000)</t>
  </si>
  <si>
    <t xml:space="preserve">Managers + Channel Leads for state reports; Administrators for national</t>
  </si>
  <si>
    <t xml:space="preserve">Scoring Rule Set</t>
  </si>
  <si>
    <t xml:space="preserve">eca_scoringruleset</t>
  </si>
  <si>
    <t xml:space="preserve">Weights must total 100. A new row per change; snapshots point at the row they used.</t>
  </si>
  <si>
    <t xml:space="preserve">Effective From</t>
  </si>
  <si>
    <t xml:space="preserve">eca_effectivefrom</t>
  </si>
  <si>
    <t xml:space="preserve">Weight Ranging</t>
  </si>
  <si>
    <t xml:space="preserve">eca_wranging</t>
  </si>
  <si>
    <t xml:space="preserve">Whole number 0–100</t>
  </si>
  <si>
    <t xml:space="preserve">Weight TDP</t>
  </si>
  <si>
    <t xml:space="preserve">eca_wtdp</t>
  </si>
  <si>
    <t xml:space="preserve">Weight Editions</t>
  </si>
  <si>
    <t xml:space="preserve">eca_weditions</t>
  </si>
  <si>
    <t xml:space="preserve">Weight POS</t>
  </si>
  <si>
    <t xml:space="preserve">eca_wpos</t>
  </si>
  <si>
    <t xml:space="preserve">Weight Coolers</t>
  </si>
  <si>
    <t xml:space="preserve">eca_wcoolers</t>
  </si>
  <si>
    <t xml:space="preserve">Normalisation</t>
  </si>
  <si>
    <t xml:space="preserve">eca_normalisation</t>
  </si>
  <si>
    <t xml:space="preserve">Choice: Relative to leader / Against targets</t>
  </si>
  <si>
    <t xml:space="preserve">Target TDP</t>
  </si>
  <si>
    <t xml:space="preserve">eca_ttdp</t>
  </si>
  <si>
    <t xml:space="preserve">Target Editions</t>
  </si>
  <si>
    <t xml:space="preserve">eca_teditions</t>
  </si>
  <si>
    <t xml:space="preserve">Target POS</t>
  </si>
  <si>
    <t xml:space="preserve">eca_tpos</t>
  </si>
  <si>
    <t xml:space="preserve">Target Coolers</t>
  </si>
  <si>
    <t xml:space="preserve">eca_tcoolers</t>
  </si>
  <si>
    <t xml:space="preserve">Minimum Approved Audits</t>
  </si>
  <si>
    <t xml:space="preserve">eca_minaudits</t>
  </si>
  <si>
    <t xml:space="preserve">Whole number ≥ 1</t>
  </si>
  <si>
    <t xml:space="preserve">Approval Mode</t>
  </si>
  <si>
    <t xml:space="preserve">eca_approvalmode</t>
  </si>
  <si>
    <t xml:space="preserve">Choice: Manager approval / Count on submit</t>
  </si>
  <si>
    <t xml:space="preserve">Is Current</t>
  </si>
  <si>
    <t xml:space="preserve">eca_iscurrent</t>
  </si>
  <si>
    <t xml:space="preserve">Leaderboard Snapshot</t>
  </si>
  <si>
    <t xml:space="preserve">eca_leaderboardsnapshot</t>
  </si>
  <si>
    <t xml:space="preserve">Created at month end by flow; locked when Final.</t>
  </si>
  <si>
    <t xml:space="preserve">Text (7) · Primary name</t>
  </si>
  <si>
    <t xml:space="preserve">Choice: In review / Final</t>
  </si>
  <si>
    <t xml:space="preserve">Created On</t>
  </si>
  <si>
    <t xml:space="preserve">eca_snapshotcreated</t>
  </si>
  <si>
    <t xml:space="preserve">Finalised By</t>
  </si>
  <si>
    <t xml:space="preserve">eca_finalisedby</t>
  </si>
  <si>
    <t xml:space="preserve">Finalised On</t>
  </si>
  <si>
    <t xml:space="preserve">eca_finalisedon</t>
  </si>
  <si>
    <t xml:space="preserve">Rule Set</t>
  </si>
  <si>
    <t xml:space="preserve">eca_ruleset</t>
  </si>
  <si>
    <t xml:space="preserve">Lookup → Scoring Rule Set</t>
  </si>
  <si>
    <t xml:space="preserve">Unapproved Audits Excluded</t>
  </si>
  <si>
    <t xml:space="preserve">eca_excludedpending</t>
  </si>
  <si>
    <t xml:space="preserve">Snapshot Row</t>
  </si>
  <si>
    <t xml:space="preserve">eca_snapshotrow</t>
  </si>
  <si>
    <t xml:space="preserve">Month – person</t>
  </si>
  <si>
    <t xml:space="preserve">Snapshot</t>
  </si>
  <si>
    <t xml:space="preserve">eca_snapshot</t>
  </si>
  <si>
    <t xml:space="preserve">Lookup → Leaderboard Snapshot</t>
  </si>
  <si>
    <t xml:space="preserve">Student Marketeer</t>
  </si>
  <si>
    <t xml:space="preserve">eca_user</t>
  </si>
  <si>
    <t xml:space="preserve">Rank</t>
  </si>
  <si>
    <t xml:space="preserve">eca_rank</t>
  </si>
  <si>
    <t xml:space="preserve">Blank = not ranked</t>
  </si>
  <si>
    <t xml:space="preserve">Total Score</t>
  </si>
  <si>
    <t xml:space="preserve">eca_totalscore</t>
  </si>
  <si>
    <t xml:space="preserve">Decimal (1 dp)</t>
  </si>
  <si>
    <t xml:space="preserve">Qualified</t>
  </si>
  <si>
    <t xml:space="preserve">eca_qualified</t>
  </si>
  <si>
    <t xml:space="preserve">Approved Audits</t>
  </si>
  <si>
    <t xml:space="preserve">eca_audits</t>
  </si>
  <si>
    <t xml:space="preserve">Decimal</t>
  </si>
  <si>
    <t xml:space="preserve">TDP Added</t>
  </si>
  <si>
    <t xml:space="preserve">eca_tdp</t>
  </si>
  <si>
    <t xml:space="preserve">Editions Sold</t>
  </si>
  <si>
    <t xml:space="preserve">eca_editions</t>
  </si>
  <si>
    <t xml:space="preserve">eca_pos</t>
  </si>
  <si>
    <t xml:space="preserve">Coolers Added</t>
  </si>
  <si>
    <t xml:space="preserve">Score Ranging</t>
  </si>
  <si>
    <t xml:space="preserve">eca_sranging</t>
  </si>
  <si>
    <t xml:space="preserve">Score TDP</t>
  </si>
  <si>
    <t xml:space="preserve">eca_stdp</t>
  </si>
  <si>
    <t xml:space="preserve">Score Editions</t>
  </si>
  <si>
    <t xml:space="preserve">eca_seditions</t>
  </si>
  <si>
    <t xml:space="preserve">Score POS</t>
  </si>
  <si>
    <t xml:space="preserve">eca_spos</t>
  </si>
  <si>
    <t xml:space="preserve">Score Coolers</t>
  </si>
  <si>
    <t xml:space="preserve">eca_scoolers</t>
  </si>
  <si>
    <t xml:space="preserve">Results Distribution</t>
  </si>
  <si>
    <t xml:space="preserve">eca_resultsdistribution</t>
  </si>
  <si>
    <t xml:space="preserve">Distributed On</t>
  </si>
  <si>
    <t xml:space="preserve">eca_distributedon</t>
  </si>
  <si>
    <t xml:space="preserve">Distributed By</t>
  </si>
  <si>
    <t xml:space="preserve">eca_distributedby</t>
  </si>
  <si>
    <t xml:space="preserve">Groups</t>
  </si>
  <si>
    <t xml:space="preserve">eca_groups</t>
  </si>
  <si>
    <t xml:space="preserve">Method</t>
  </si>
  <si>
    <t xml:space="preserve">eca_method</t>
  </si>
  <si>
    <t xml:space="preserve">Choice: Email and in-app / Email only / In-app only / Teams post and in-app</t>
  </si>
  <si>
    <t xml:space="preserve">Message</t>
  </si>
  <si>
    <t xml:space="preserve">eca_message</t>
  </si>
  <si>
    <t xml:space="preserve">Recipient Count</t>
  </si>
  <si>
    <t xml:space="preserve">eca_recipientcount</t>
  </si>
  <si>
    <t xml:space="preserve">Distribution Settings</t>
  </si>
  <si>
    <t xml:space="preserve">eca_distributionsettings</t>
  </si>
  <si>
    <t xml:space="preserve">Single row: “Default”</t>
  </si>
  <si>
    <t xml:space="preserve">Send to Channel Leads</t>
  </si>
  <si>
    <t xml:space="preserve">eca_toleads</t>
  </si>
  <si>
    <t xml:space="preserve">Send to Administrators</t>
  </si>
  <si>
    <t xml:space="preserve">eca_toadmins</t>
  </si>
  <si>
    <t xml:space="preserve">Send to Student Marketeers</t>
  </si>
  <si>
    <t xml:space="preserve">eca_tosms</t>
  </si>
  <si>
    <t xml:space="preserve">Additional Recipients</t>
  </si>
  <si>
    <t xml:space="preserve">eca_extra</t>
  </si>
  <si>
    <t xml:space="preserve">Text (1000)</t>
  </si>
  <si>
    <t xml:space="preserve">Emails, semicolon separated</t>
  </si>
  <si>
    <t xml:space="preserve">Choice (as Results Distribution)</t>
  </si>
  <si>
    <t xml:space="preserve">Send By Business Day</t>
  </si>
  <si>
    <t xml:space="preserve">eca_businessday</t>
  </si>
  <si>
    <t xml:space="preserve">Whole number 1–10</t>
  </si>
  <si>
    <t xml:space="preserve">Message Template</t>
  </si>
  <si>
    <t xml:space="preserve">eca_template</t>
  </si>
  <si>
    <t xml:space="preserve">Removal Request</t>
  </si>
  <si>
    <t xml:space="preserve">eca_removalrequest</t>
  </si>
  <si>
    <t xml:space="preserve">Request ID</t>
  </si>
  <si>
    <t xml:space="preserve">Autonumber RR-{SEQNUM:4} · Primary name</t>
  </si>
  <si>
    <t xml:space="preserve">Target Type</t>
  </si>
  <si>
    <t xml:space="preserve">eca_targettype</t>
  </si>
  <si>
    <t xml:space="preserve">Choice: Store / Vending machine / University / TAFE</t>
  </si>
  <si>
    <t xml:space="preserve">Requested By</t>
  </si>
  <si>
    <t xml:space="preserve">eca_requestedby</t>
  </si>
  <si>
    <t xml:space="preserve">Reason</t>
  </si>
  <si>
    <t xml:space="preserve">eca_reason</t>
  </si>
  <si>
    <t xml:space="preserve">Choice: ECA Removal Reason</t>
  </si>
  <si>
    <t xml:space="preserve">Comments</t>
  </si>
  <si>
    <t xml:space="preserve">eca_comments</t>
  </si>
  <si>
    <t xml:space="preserve">Choice: Pending / Approved / Rejected</t>
  </si>
  <si>
    <t xml:space="preserve">Decided By</t>
  </si>
  <si>
    <t xml:space="preserve">eca_decidedby</t>
  </si>
  <si>
    <t xml:space="preserve">Decided On</t>
  </si>
  <si>
    <t xml:space="preserve">eca_decidedon</t>
  </si>
  <si>
    <t xml:space="preserve">Decision Note</t>
  </si>
  <si>
    <t xml:space="preserve">eca_decisionnote</t>
  </si>
  <si>
    <t xml:space="preserve">Sign-in Event</t>
  </si>
  <si>
    <t xml:space="preserve">eca_signinevent</t>
  </si>
  <si>
    <t xml:space="preserve">Only needed if the name sign-in fallback is used; Microsoft sign-in is logged by Entra ID.</t>
  </si>
  <si>
    <t xml:space="preserve">Name entered</t>
  </si>
  <si>
    <t xml:space="preserve">Matched User</t>
  </si>
  <si>
    <t xml:space="preserve">eca_result</t>
  </si>
  <si>
    <t xml:space="preserve">Choice: Signed in / Not on list / Deactivated / Wrong admin PIN / Locked out</t>
  </si>
  <si>
    <t xml:space="preserve">Signed In On</t>
  </si>
  <si>
    <t xml:space="preserve">eca_signedinon</t>
  </si>
  <si>
    <t xml:space="preserve">Device</t>
  </si>
  <si>
    <t xml:space="preserve">eca_device</t>
  </si>
  <si>
    <t xml:space="preserve">ECA Audit Log</t>
  </si>
  <si>
    <t xml:space="preserve">eca_auditlog</t>
  </si>
  <si>
    <t xml:space="preserve">Append-only: every security role gets Create + Read only. Turn on Dataverse auditing as well.</t>
  </si>
  <si>
    <t xml:space="preserve">Action</t>
  </si>
  <si>
    <t xml:space="preserve">Category</t>
  </si>
  <si>
    <t xml:space="preserve">eca_category</t>
  </si>
  <si>
    <t xml:space="preserve">Choice: Log Category</t>
  </si>
  <si>
    <t xml:space="preserve">User</t>
  </si>
  <si>
    <t xml:space="preserve">Logged On</t>
  </si>
  <si>
    <t xml:space="preserve">eca_loggedon</t>
  </si>
  <si>
    <t xml:space="preserve">eca_tablename</t>
  </si>
  <si>
    <t xml:space="preserve">Record</t>
  </si>
  <si>
    <t xml:space="preserve">eca_recordid</t>
  </si>
  <si>
    <t xml:space="preserve">Previous Value</t>
  </si>
  <si>
    <t xml:space="preserve">eca_previousvalue</t>
  </si>
  <si>
    <t xml:space="preserve">New Value</t>
  </si>
  <si>
    <t xml:space="preserve">eca_newvalue</t>
  </si>
  <si>
    <t xml:space="preserve">Detail</t>
  </si>
  <si>
    <t xml:space="preserve">eca_detail</t>
  </si>
  <si>
    <t xml:space="preserve">Choice set</t>
  </si>
  <si>
    <t xml:space="preserve">Label</t>
  </si>
  <si>
    <t xml:space="preserve">Order</t>
  </si>
  <si>
    <t xml:space="preserve">ECA Role</t>
  </si>
  <si>
    <t xml:space="preserve">Manager</t>
  </si>
  <si>
    <t xml:space="preserve">Administrator</t>
  </si>
  <si>
    <t xml:space="preserve">Active / Inactive</t>
  </si>
  <si>
    <t xml:space="preserve">Inactive</t>
  </si>
  <si>
    <t xml:space="preserve">Location Status</t>
  </si>
  <si>
    <t xml:space="preserve">Paused</t>
  </si>
  <si>
    <t xml:space="preserve">Removed</t>
  </si>
  <si>
    <t xml:space="preserve">Institution Kind</t>
  </si>
  <si>
    <t xml:space="preserve">University</t>
  </si>
  <si>
    <t xml:space="preserve">TAFE</t>
  </si>
  <si>
    <t xml:space="preserve">Completed</t>
  </si>
  <si>
    <t xml:space="preserve">Scheduled</t>
  </si>
  <si>
    <t xml:space="preserve">Cancelled</t>
  </si>
  <si>
    <t xml:space="preserve">Pending</t>
  </si>
  <si>
    <t xml:space="preserve">Approved</t>
  </si>
  <si>
    <t xml:space="preserve">Rejected</t>
  </si>
  <si>
    <t xml:space="preserve">Duplicate</t>
  </si>
  <si>
    <t xml:space="preserve">Yes / No</t>
  </si>
  <si>
    <t xml:space="preserve">Yes</t>
  </si>
  <si>
    <t xml:space="preserve">No</t>
  </si>
  <si>
    <t xml:space="preserve">ECA POS Type</t>
  </si>
  <si>
    <t xml:space="preserve">Price tag</t>
  </si>
  <si>
    <t xml:space="preserve">Wobbler</t>
  </si>
  <si>
    <t xml:space="preserve">Poster</t>
  </si>
  <si>
    <t xml:space="preserve">Shelf strip</t>
  </si>
  <si>
    <t xml:space="preserve">Fridge decal</t>
  </si>
  <si>
    <t xml:space="preserve">Counter unit</t>
  </si>
  <si>
    <t xml:space="preserve">Menu board</t>
  </si>
  <si>
    <t xml:space="preserve">Vending decal</t>
  </si>
  <si>
    <t xml:space="preserve">Other</t>
  </si>
  <si>
    <t xml:space="preserve">Competitor (reference list)</t>
  </si>
  <si>
    <t xml:space="preserve">Monster</t>
  </si>
  <si>
    <t xml:space="preserve">V</t>
  </si>
  <si>
    <t xml:space="preserve">Solo Energy</t>
  </si>
  <si>
    <t xml:space="preserve">Rockstar</t>
  </si>
  <si>
    <t xml:space="preserve">Celsius</t>
  </si>
  <si>
    <t xml:space="preserve">ECA Contact Role</t>
  </si>
  <si>
    <t xml:space="preserve">Owner</t>
  </si>
  <si>
    <t xml:space="preserve">Assistant manager</t>
  </si>
  <si>
    <t xml:space="preserve">Supervisor</t>
  </si>
  <si>
    <t xml:space="preserve">Buyer / purchasing</t>
  </si>
  <si>
    <t xml:space="preserve">Staff member</t>
  </si>
  <si>
    <t xml:space="preserve">State summary</t>
  </si>
  <si>
    <t xml:space="preserve">National breakdown</t>
  </si>
  <si>
    <t xml:space="preserve">Audit export</t>
  </si>
  <si>
    <t xml:space="preserve">EYE</t>
  </si>
  <si>
    <t xml:space="preserve">RING</t>
  </si>
  <si>
    <t xml:space="preserve">OnP</t>
  </si>
  <si>
    <t xml:space="preserve">OffP</t>
  </si>
  <si>
    <t xml:space="preserve">A</t>
  </si>
  <si>
    <t xml:space="preserve">B</t>
  </si>
  <si>
    <t xml:space="preserve">C</t>
  </si>
  <si>
    <t xml:space="preserve">D</t>
  </si>
  <si>
    <t xml:space="preserve">IND</t>
  </si>
  <si>
    <t xml:space="preserve">NKA</t>
  </si>
  <si>
    <t xml:space="preserve">AltaVend</t>
  </si>
  <si>
    <t xml:space="preserve">Coke Vending</t>
  </si>
  <si>
    <t xml:space="preserve">M&amp;M</t>
  </si>
  <si>
    <t xml:space="preserve">Melbourne Vending Co.</t>
  </si>
  <si>
    <t xml:space="preserve">Provender</t>
  </si>
  <si>
    <t xml:space="preserve">Snack Savy</t>
  </si>
  <si>
    <t xml:space="preserve">Vendy</t>
  </si>
  <si>
    <t xml:space="preserve">ECA Removal Reason</t>
  </si>
  <si>
    <t xml:space="preserve">Closed permanently</t>
  </si>
  <si>
    <t xml:space="preserve">No longer stocks Red Bull</t>
  </si>
  <si>
    <t xml:space="preserve">Duplicate entry</t>
  </si>
  <si>
    <t xml:space="preserve">Moved or renamed</t>
  </si>
  <si>
    <t xml:space="preserve">Not accessible to staff</t>
  </si>
  <si>
    <t xml:space="preserve">Snapshot Status</t>
  </si>
  <si>
    <t xml:space="preserve">In review</t>
  </si>
  <si>
    <t xml:space="preserve">Final</t>
  </si>
  <si>
    <t xml:space="preserve">Relative to leader</t>
  </si>
  <si>
    <t xml:space="preserve">Against targets</t>
  </si>
  <si>
    <t xml:space="preserve">Manager approval</t>
  </si>
  <si>
    <t xml:space="preserve">Count on submit</t>
  </si>
  <si>
    <t xml:space="preserve">Distribution Method</t>
  </si>
  <si>
    <t xml:space="preserve">Email and in-app</t>
  </si>
  <si>
    <t xml:space="preserve">Email only</t>
  </si>
  <si>
    <t xml:space="preserve">In-app only</t>
  </si>
  <si>
    <t xml:space="preserve">Teams post and in-app</t>
  </si>
  <si>
    <t xml:space="preserve">Log Category</t>
  </si>
  <si>
    <t xml:space="preserve">Login</t>
  </si>
  <si>
    <t xml:space="preserve">Activity</t>
  </si>
  <si>
    <t xml:space="preserve">Approval</t>
  </si>
  <si>
    <t xml:space="preserve">Correction</t>
  </si>
  <si>
    <t xml:space="preserve">Score</t>
  </si>
  <si>
    <t xml:space="preserve">Leaderboard</t>
  </si>
  <si>
    <t xml:space="preserve">Distribution</t>
  </si>
  <si>
    <t xml:space="preserve">People</t>
  </si>
  <si>
    <t xml:space="preserve">Locations</t>
  </si>
  <si>
    <t xml:space="preserve">Settings</t>
  </si>
  <si>
    <t xml:space="preserve">Sign-in Result</t>
  </si>
  <si>
    <t xml:space="preserve">Signed in</t>
  </si>
  <si>
    <t xml:space="preserve">Not on list</t>
  </si>
  <si>
    <t xml:space="preserve">Deactivated</t>
  </si>
  <si>
    <t xml:space="preserve">Wrong admin PIN</t>
  </si>
  <si>
    <t xml:space="preserve">Locked out</t>
  </si>
  <si>
    <t xml:space="preserve">Removal Target Type</t>
  </si>
  <si>
    <t xml:space="preserve">Store</t>
  </si>
  <si>
    <t xml:space="preserve">Vending machine</t>
  </si>
  <si>
    <t xml:space="preserve">VIC</t>
  </si>
  <si>
    <t xml:space="preserve">Victoria</t>
  </si>
  <si>
    <t xml:space="preserve">NSW</t>
  </si>
  <si>
    <t xml:space="preserve">New South Wales</t>
  </si>
  <si>
    <t xml:space="preserve">QLD</t>
  </si>
  <si>
    <t xml:space="preserve">Queensland</t>
  </si>
  <si>
    <t xml:space="preserve">SA</t>
  </si>
  <si>
    <t xml:space="preserve">South Australia</t>
  </si>
  <si>
    <t xml:space="preserve">WA</t>
  </si>
  <si>
    <t xml:space="preserve">Western Australia</t>
  </si>
  <si>
    <t xml:space="preserve">QSR</t>
  </si>
  <si>
    <t xml:space="preserve">Vending</t>
  </si>
  <si>
    <t xml:space="preserve">Student Bar</t>
  </si>
  <si>
    <t xml:space="preserve">Convenience</t>
  </si>
  <si>
    <t xml:space="preserve">Connor Mahon</t>
  </si>
  <si>
    <t xml:space="preserve">Connor</t>
  </si>
  <si>
    <t xml:space="preserve">Mahon</t>
  </si>
  <si>
    <t xml:space="preserve">Eilish Hargen</t>
  </si>
  <si>
    <t xml:space="preserve">Eilish</t>
  </si>
  <si>
    <t xml:space="preserve">Hargen</t>
  </si>
  <si>
    <t xml:space="preserve">Georgia Merret</t>
  </si>
  <si>
    <t xml:space="preserve">Georgia</t>
  </si>
  <si>
    <t xml:space="preserve">Merret</t>
  </si>
  <si>
    <t xml:space="preserve">Holiday Chen</t>
  </si>
  <si>
    <t xml:space="preserve">Holiday</t>
  </si>
  <si>
    <t xml:space="preserve">Chen</t>
  </si>
  <si>
    <t xml:space="preserve">Hudson Ayoubi</t>
  </si>
  <si>
    <t xml:space="preserve">Hudson</t>
  </si>
  <si>
    <t xml:space="preserve">Ayoubi</t>
  </si>
  <si>
    <t xml:space="preserve">Jarrod Smith</t>
  </si>
  <si>
    <t xml:space="preserve">Jarrod</t>
  </si>
  <si>
    <t xml:space="preserve">Smith</t>
  </si>
  <si>
    <t xml:space="preserve">Jon McCarthy</t>
  </si>
  <si>
    <t xml:space="preserve">Jon</t>
  </si>
  <si>
    <t xml:space="preserve">McCarthy</t>
  </si>
  <si>
    <t xml:space="preserve">Keane Vivas</t>
  </si>
  <si>
    <t xml:space="preserve">Keane</t>
  </si>
  <si>
    <t xml:space="preserve">Vivas</t>
  </si>
  <si>
    <t xml:space="preserve">Lee Imperatrice</t>
  </si>
  <si>
    <t xml:space="preserve">Lee</t>
  </si>
  <si>
    <t xml:space="preserve">Imperatrice</t>
  </si>
  <si>
    <t xml:space="preserve">Lyndon Hutton</t>
  </si>
  <si>
    <t xml:space="preserve">Lyndon</t>
  </si>
  <si>
    <t xml:space="preserve">Hutton</t>
  </si>
  <si>
    <t xml:space="preserve">Makenzie Grant</t>
  </si>
  <si>
    <t xml:space="preserve">Makenzie</t>
  </si>
  <si>
    <t xml:space="preserve">Grant</t>
  </si>
  <si>
    <t xml:space="preserve">Nicholas Perman</t>
  </si>
  <si>
    <t xml:space="preserve">Nicholas</t>
  </si>
  <si>
    <t xml:space="preserve">Perman</t>
  </si>
  <si>
    <t xml:space="preserve">Rachel Sullivan</t>
  </si>
  <si>
    <t xml:space="preserve">Rachel</t>
  </si>
  <si>
    <t xml:space="preserve">Sullivan</t>
  </si>
  <si>
    <t xml:space="preserve">Sarah Stirling</t>
  </si>
  <si>
    <t xml:space="preserve">Sarah</t>
  </si>
  <si>
    <t xml:space="preserve">Stirling</t>
  </si>
  <si>
    <t xml:space="preserve">Sophie Ness</t>
  </si>
  <si>
    <t xml:space="preserve">Sophie</t>
  </si>
  <si>
    <t xml:space="preserve">Ness</t>
  </si>
  <si>
    <t xml:space="preserve">Zane Hudson</t>
  </si>
  <si>
    <t xml:space="preserve">Zane</t>
  </si>
  <si>
    <t xml:space="preserve">Alex Kinloch</t>
  </si>
  <si>
    <t xml:space="preserve">Alex</t>
  </si>
  <si>
    <t xml:space="preserve">Kinloch</t>
  </si>
  <si>
    <t xml:space="preserve">Anthony Alam</t>
  </si>
  <si>
    <t xml:space="preserve">Anthony</t>
  </si>
  <si>
    <t xml:space="preserve">Alam</t>
  </si>
  <si>
    <t xml:space="preserve">Charlotte Terrell</t>
  </si>
  <si>
    <t xml:space="preserve">Charlotte</t>
  </si>
  <si>
    <t xml:space="preserve">Terrell</t>
  </si>
  <si>
    <t xml:space="preserve">Jonathan Chalouhi</t>
  </si>
  <si>
    <t xml:space="preserve">Jonathan</t>
  </si>
  <si>
    <t xml:space="preserve">Chalouhi</t>
  </si>
  <si>
    <t xml:space="preserve">Bronte Stock</t>
  </si>
  <si>
    <t xml:space="preserve">Bronte</t>
  </si>
  <si>
    <t xml:space="preserve">Stock</t>
  </si>
  <si>
    <t xml:space="preserve">Georgia Bakagiannis</t>
  </si>
  <si>
    <t xml:space="preserve">Bakagiannis</t>
  </si>
  <si>
    <t xml:space="preserve">Molly Kenworthy</t>
  </si>
  <si>
    <t xml:space="preserve">Molly</t>
  </si>
  <si>
    <t xml:space="preserve">Kenworthy</t>
  </si>
  <si>
    <t xml:space="preserve">Adam Mizzi</t>
  </si>
  <si>
    <t xml:space="preserve">Adam</t>
  </si>
  <si>
    <t xml:space="preserve">Mizzi</t>
  </si>
  <si>
    <t xml:space="preserve">Teneisha Clarisse</t>
  </si>
  <si>
    <t xml:space="preserve">Teneisha</t>
  </si>
  <si>
    <t xml:space="preserve">Clarisse</t>
  </si>
  <si>
    <t xml:space="preserve">Abi James</t>
  </si>
  <si>
    <t xml:space="preserve">Abi</t>
  </si>
  <si>
    <t xml:space="preserve">James</t>
  </si>
  <si>
    <t xml:space="preserve">Hannah Perry</t>
  </si>
  <si>
    <t xml:space="preserve">Hannah</t>
  </si>
  <si>
    <t xml:space="preserve">Perry</t>
  </si>
  <si>
    <t xml:space="preserve">Josh Blew</t>
  </si>
  <si>
    <t xml:space="preserve">Josh</t>
  </si>
  <si>
    <t xml:space="preserve">Blew</t>
  </si>
  <si>
    <t xml:space="preserve">Patrick Blew</t>
  </si>
  <si>
    <t xml:space="preserve">Patrick</t>
  </si>
  <si>
    <t xml:space="preserve">Phillip Petinella</t>
  </si>
  <si>
    <t xml:space="preserve">Phillip</t>
  </si>
  <si>
    <t xml:space="preserve">Petinella</t>
  </si>
  <si>
    <t xml:space="preserve">Anna Minissale</t>
  </si>
  <si>
    <t xml:space="preserve">Anna</t>
  </si>
  <si>
    <t xml:space="preserve">Minissale</t>
  </si>
  <si>
    <t xml:space="preserve">Justin Majeks</t>
  </si>
  <si>
    <t xml:space="preserve">Justin</t>
  </si>
  <si>
    <t xml:space="preserve">Majeks</t>
  </si>
  <si>
    <t xml:space="preserve">Brooke Kildey</t>
  </si>
  <si>
    <t xml:space="preserve">Brooke</t>
  </si>
  <si>
    <t xml:space="preserve">Kildey</t>
  </si>
  <si>
    <t xml:space="preserve">Charlotte Bagnall</t>
  </si>
  <si>
    <t xml:space="preserve">Bagnall</t>
  </si>
  <si>
    <t xml:space="preserve">Christopher Salem</t>
  </si>
  <si>
    <t xml:space="preserve">Christopher</t>
  </si>
  <si>
    <t xml:space="preserve">Salem</t>
  </si>
  <si>
    <t xml:space="preserve">Dana Farfan</t>
  </si>
  <si>
    <t xml:space="preserve">Dana</t>
  </si>
  <si>
    <t xml:space="preserve">Farfan</t>
  </si>
  <si>
    <t xml:space="preserve">Eliza La Greca</t>
  </si>
  <si>
    <t xml:space="preserve">Eliza</t>
  </si>
  <si>
    <t xml:space="preserve">La Greca</t>
  </si>
  <si>
    <t xml:space="preserve">Eva Charles</t>
  </si>
  <si>
    <t xml:space="preserve">Eva</t>
  </si>
  <si>
    <t xml:space="preserve">Charles</t>
  </si>
  <si>
    <t xml:space="preserve">Georgia McQuillan</t>
  </si>
  <si>
    <t xml:space="preserve">McQuillan</t>
  </si>
  <si>
    <t xml:space="preserve">Grace Dawson</t>
  </si>
  <si>
    <t xml:space="preserve">Grace</t>
  </si>
  <si>
    <t xml:space="preserve">Dawson</t>
  </si>
  <si>
    <t xml:space="preserve">Harry Hadley</t>
  </si>
  <si>
    <t xml:space="preserve">Harry</t>
  </si>
  <si>
    <t xml:space="preserve">Hadley</t>
  </si>
  <si>
    <t xml:space="preserve">Hugo Paddon-Row</t>
  </si>
  <si>
    <t xml:space="preserve">Hugo</t>
  </si>
  <si>
    <t xml:space="preserve">Paddon-Row</t>
  </si>
  <si>
    <t xml:space="preserve">Jack Montague</t>
  </si>
  <si>
    <t xml:space="preserve">Jack</t>
  </si>
  <si>
    <t xml:space="preserve">Montague</t>
  </si>
  <si>
    <t xml:space="preserve">James Whiteing</t>
  </si>
  <si>
    <t xml:space="preserve">Whiteing</t>
  </si>
  <si>
    <t xml:space="preserve">Jonathan Shabaya</t>
  </si>
  <si>
    <t xml:space="preserve">Shabaya</t>
  </si>
  <si>
    <t xml:space="preserve">Kalipso Nathanael</t>
  </si>
  <si>
    <t xml:space="preserve">Kalipso</t>
  </si>
  <si>
    <t xml:space="preserve">Nathanael</t>
  </si>
  <si>
    <t xml:space="preserve">Katya Slavin</t>
  </si>
  <si>
    <t xml:space="preserve">Katya</t>
  </si>
  <si>
    <t xml:space="preserve">Slavin</t>
  </si>
  <si>
    <t xml:space="preserve">Lucinda Whybrow</t>
  </si>
  <si>
    <t xml:space="preserve">Lucinda</t>
  </si>
  <si>
    <t xml:space="preserve">Whybrow</t>
  </si>
  <si>
    <t xml:space="preserve">Oliver Boyd</t>
  </si>
  <si>
    <t xml:space="preserve">Oliver</t>
  </si>
  <si>
    <t xml:space="preserve">Boyd</t>
  </si>
  <si>
    <t xml:space="preserve">Renee Christison</t>
  </si>
  <si>
    <t xml:space="preserve">Renee</t>
  </si>
  <si>
    <t xml:space="preserve">Christison</t>
  </si>
  <si>
    <t xml:space="preserve">Sachman Maini</t>
  </si>
  <si>
    <t xml:space="preserve">Sachman</t>
  </si>
  <si>
    <t xml:space="preserve">Maini</t>
  </si>
  <si>
    <t xml:space="preserve">Sarah Bartolo</t>
  </si>
  <si>
    <t xml:space="preserve">Bartolo</t>
  </si>
  <si>
    <t xml:space="preserve">Shelley Morton</t>
  </si>
  <si>
    <t xml:space="preserve">Shelley</t>
  </si>
  <si>
    <t xml:space="preserve">Morton</t>
  </si>
  <si>
    <t xml:space="preserve">Talia Rossi</t>
  </si>
  <si>
    <t xml:space="preserve">Talia</t>
  </si>
  <si>
    <t xml:space="preserve">Rossi</t>
  </si>
  <si>
    <t xml:space="preserve">Tamsyn Rose</t>
  </si>
  <si>
    <t xml:space="preserve">Tamsyn</t>
  </si>
  <si>
    <t xml:space="preserve">Rose</t>
  </si>
  <si>
    <t xml:space="preserve">Thomas Kuminek</t>
  </si>
  <si>
    <t xml:space="preserve">Thomas</t>
  </si>
  <si>
    <t xml:space="preserve">Kuminek</t>
  </si>
  <si>
    <t xml:space="preserve">Xanthe Tamayo</t>
  </si>
  <si>
    <t xml:space="preserve">Xanthe</t>
  </si>
  <si>
    <t xml:space="preserve">Tamayo</t>
  </si>
  <si>
    <t xml:space="preserve">Yashmin Bucao</t>
  </si>
  <si>
    <t xml:space="preserve">Yashmin</t>
  </si>
  <si>
    <t xml:space="preserve">Bucao</t>
  </si>
  <si>
    <t xml:space="preserve">Zoe Smith</t>
  </si>
  <si>
    <t xml:space="preserve">Zoe</t>
  </si>
  <si>
    <t xml:space="preserve">Caytlan Stephensen</t>
  </si>
  <si>
    <t xml:space="preserve">Caytlan</t>
  </si>
  <si>
    <t xml:space="preserve">Stephensen</t>
  </si>
  <si>
    <t xml:space="preserve">Celina Squire</t>
  </si>
  <si>
    <t xml:space="preserve">Celina</t>
  </si>
  <si>
    <t xml:space="preserve">Squire</t>
  </si>
  <si>
    <t xml:space="preserve">Ella Lancini</t>
  </si>
  <si>
    <t xml:space="preserve">Ella</t>
  </si>
  <si>
    <t xml:space="preserve">Lancini</t>
  </si>
  <si>
    <t xml:space="preserve">Jadene de Lima</t>
  </si>
  <si>
    <t xml:space="preserve">Jadene</t>
  </si>
  <si>
    <t xml:space="preserve">de Lima</t>
  </si>
  <si>
    <t xml:space="preserve">Joshua Lai</t>
  </si>
  <si>
    <t xml:space="preserve">Joshua</t>
  </si>
  <si>
    <t xml:space="preserve">Lai</t>
  </si>
  <si>
    <t xml:space="preserve">Kaitlyn Knowles</t>
  </si>
  <si>
    <t xml:space="preserve">Kaitlyn</t>
  </si>
  <si>
    <t xml:space="preserve">Knowles</t>
  </si>
  <si>
    <t xml:space="preserve">Lachlan Gomersall</t>
  </si>
  <si>
    <t xml:space="preserve">Lachlan</t>
  </si>
  <si>
    <t xml:space="preserve">Gomersall</t>
  </si>
  <si>
    <t xml:space="preserve">Lachlan McBain</t>
  </si>
  <si>
    <t xml:space="preserve">McBain</t>
  </si>
  <si>
    <t xml:space="preserve">Liam Crispe</t>
  </si>
  <si>
    <t xml:space="preserve">Liam</t>
  </si>
  <si>
    <t xml:space="preserve">Crispe</t>
  </si>
  <si>
    <t xml:space="preserve">Lily Lattanzi</t>
  </si>
  <si>
    <t xml:space="preserve">Lily</t>
  </si>
  <si>
    <t xml:space="preserve">Lattanzi</t>
  </si>
  <si>
    <t xml:space="preserve">Pieter Swart</t>
  </si>
  <si>
    <t xml:space="preserve">Pieter</t>
  </si>
  <si>
    <t xml:space="preserve">Swart</t>
  </si>
  <si>
    <t xml:space="preserve">Summer Toole</t>
  </si>
  <si>
    <t xml:space="preserve">Summer</t>
  </si>
  <si>
    <t xml:space="preserve">Toole</t>
  </si>
  <si>
    <t xml:space="preserve">Sydney Elder</t>
  </si>
  <si>
    <t xml:space="preserve">Sydney</t>
  </si>
  <si>
    <t xml:space="preserve">Elder</t>
  </si>
  <si>
    <t xml:space="preserve">Tyler Dimock</t>
  </si>
  <si>
    <t xml:space="preserve">Tyler</t>
  </si>
  <si>
    <t xml:space="preserve">Dimock</t>
  </si>
  <si>
    <t xml:space="preserve">Violet Fahy</t>
  </si>
  <si>
    <t xml:space="preserve">Violet</t>
  </si>
  <si>
    <t xml:space="preserve">Fahy</t>
  </si>
  <si>
    <t xml:space="preserve">William Horton</t>
  </si>
  <si>
    <t xml:space="preserve">William</t>
  </si>
  <si>
    <t xml:space="preserve">Horton</t>
  </si>
  <si>
    <t xml:space="preserve">Alex Holt</t>
  </si>
  <si>
    <t xml:space="preserve">Holt</t>
  </si>
  <si>
    <t xml:space="preserve">Caydence Bussenschutt</t>
  </si>
  <si>
    <t xml:space="preserve">Caydence</t>
  </si>
  <si>
    <t xml:space="preserve">Bussenschutt</t>
  </si>
  <si>
    <t xml:space="preserve">Chloe Salvemini</t>
  </si>
  <si>
    <t xml:space="preserve">Chloe</t>
  </si>
  <si>
    <t xml:space="preserve">Salvemini</t>
  </si>
  <si>
    <t xml:space="preserve">Hugh Black</t>
  </si>
  <si>
    <t xml:space="preserve">Hugh</t>
  </si>
  <si>
    <t xml:space="preserve">Black</t>
  </si>
  <si>
    <t xml:space="preserve">Isabella Drew</t>
  </si>
  <si>
    <t xml:space="preserve">Isabella</t>
  </si>
  <si>
    <t xml:space="preserve">Drew</t>
  </si>
  <si>
    <t xml:space="preserve">Jacob Mackenzie</t>
  </si>
  <si>
    <t xml:space="preserve">Jacob</t>
  </si>
  <si>
    <t xml:space="preserve">Mackenzie</t>
  </si>
  <si>
    <t xml:space="preserve">Lan Pham-Ellickson</t>
  </si>
  <si>
    <t xml:space="preserve">Lan</t>
  </si>
  <si>
    <t xml:space="preserve">Pham-Ellickson</t>
  </si>
  <si>
    <t xml:space="preserve">Olivia Thompson</t>
  </si>
  <si>
    <t xml:space="preserve">Olivia</t>
  </si>
  <si>
    <t xml:space="preserve">Thompson</t>
  </si>
  <si>
    <t xml:space="preserve">Sophie Wigg</t>
  </si>
  <si>
    <t xml:space="preserve">Wigg</t>
  </si>
  <si>
    <t xml:space="preserve">William Torode</t>
  </si>
  <si>
    <t xml:space="preserve">Torode</t>
  </si>
  <si>
    <t xml:space="preserve">Alex Mozjerin</t>
  </si>
  <si>
    <t xml:space="preserve">Mozjerin</t>
  </si>
  <si>
    <t xml:space="preserve">Amanda Shen</t>
  </si>
  <si>
    <t xml:space="preserve">Amanda</t>
  </si>
  <si>
    <t xml:space="preserve">Shen</t>
  </si>
  <si>
    <t xml:space="preserve">Andy Sitch</t>
  </si>
  <si>
    <t xml:space="preserve">Andy</t>
  </si>
  <si>
    <t xml:space="preserve">Sitch</t>
  </si>
  <si>
    <t xml:space="preserve">Ella Dzielakowski</t>
  </si>
  <si>
    <t xml:space="preserve">Dzielakowski</t>
  </si>
  <si>
    <t xml:space="preserve">George Johnson</t>
  </si>
  <si>
    <t xml:space="preserve">George</t>
  </si>
  <si>
    <t xml:space="preserve">Johnson</t>
  </si>
  <si>
    <t xml:space="preserve">Kristie Phan</t>
  </si>
  <si>
    <t xml:space="preserve">Kristie</t>
  </si>
  <si>
    <t xml:space="preserve">Phan</t>
  </si>
  <si>
    <t xml:space="preserve">Lachlan Heath</t>
  </si>
  <si>
    <t xml:space="preserve">Heath</t>
  </si>
  <si>
    <t xml:space="preserve">Milla Burgess</t>
  </si>
  <si>
    <t xml:space="preserve">Milla</t>
  </si>
  <si>
    <t xml:space="preserve">Burgess</t>
  </si>
  <si>
    <t xml:space="preserve">Amy Ward</t>
  </si>
  <si>
    <t xml:space="preserve">Amy</t>
  </si>
  <si>
    <t xml:space="preserve">Ward</t>
  </si>
  <si>
    <t xml:space="preserve">Anna Pedersen</t>
  </si>
  <si>
    <t xml:space="preserve">Pedersen</t>
  </si>
  <si>
    <t xml:space="preserve">Cameron Cassie</t>
  </si>
  <si>
    <t xml:space="preserve">Cameron</t>
  </si>
  <si>
    <t xml:space="preserve">Cassie</t>
  </si>
  <si>
    <t xml:space="preserve">Claudia Biddeloo</t>
  </si>
  <si>
    <t xml:space="preserve">Claudia</t>
  </si>
  <si>
    <t xml:space="preserve">Biddeloo</t>
  </si>
  <si>
    <t xml:space="preserve">Keira Clements</t>
  </si>
  <si>
    <t xml:space="preserve">Keira</t>
  </si>
  <si>
    <t xml:space="preserve">Clements</t>
  </si>
  <si>
    <t xml:space="preserve">Lachlan Lamb</t>
  </si>
  <si>
    <t xml:space="preserve">Lamb</t>
  </si>
  <si>
    <t xml:space="preserve">Meg Kimpton</t>
  </si>
  <si>
    <t xml:space="preserve">Meg</t>
  </si>
  <si>
    <t xml:space="preserve">Kimpton</t>
  </si>
  <si>
    <t xml:space="preserve">Mitch Miller</t>
  </si>
  <si>
    <t xml:space="preserve">Mitch</t>
  </si>
  <si>
    <t xml:space="preserve">Miller</t>
  </si>
  <si>
    <t xml:space="preserve">Ruthie Ong</t>
  </si>
  <si>
    <t xml:space="preserve">Ruthie</t>
  </si>
  <si>
    <t xml:space="preserve">Ong</t>
  </si>
  <si>
    <t xml:space="preserve">VIC – Keane Vivas</t>
  </si>
  <si>
    <t xml:space="preserve">QLD – Holiday Chen</t>
  </si>
  <si>
    <t xml:space="preserve">WA – Rachel Sullivan</t>
  </si>
  <si>
    <t xml:space="preserve">WA – Georgia Merret</t>
  </si>
  <si>
    <t xml:space="preserve">NSW – Makenzie Grant</t>
  </si>
  <si>
    <t xml:space="preserve">NSW – Sophie Ness</t>
  </si>
  <si>
    <t xml:space="preserve">SA – Connor Mahon</t>
  </si>
  <si>
    <t xml:space="preserve">MON</t>
  </si>
  <si>
    <t xml:space="preserve">Monash University</t>
  </si>
  <si>
    <t xml:space="preserve">Monash</t>
  </si>
  <si>
    <t xml:space="preserve">LTU</t>
  </si>
  <si>
    <t xml:space="preserve">La Trobe University</t>
  </si>
  <si>
    <t xml:space="preserve">La Trobe</t>
  </si>
  <si>
    <t xml:space="preserve">DEA</t>
  </si>
  <si>
    <t xml:space="preserve">Deakin University</t>
  </si>
  <si>
    <t xml:space="preserve">Deakin</t>
  </si>
  <si>
    <t xml:space="preserve">VU</t>
  </si>
  <si>
    <t xml:space="preserve">Victoria University</t>
  </si>
  <si>
    <t xml:space="preserve">RMIT</t>
  </si>
  <si>
    <t xml:space="preserve">RMIT University</t>
  </si>
  <si>
    <t xml:space="preserve">SWI</t>
  </si>
  <si>
    <t xml:space="preserve">Swinburne University</t>
  </si>
  <si>
    <t xml:space="preserve">Swinburne</t>
  </si>
  <si>
    <t xml:space="preserve">UOM</t>
  </si>
  <si>
    <t xml:space="preserve">University of Melbourne</t>
  </si>
  <si>
    <t xml:space="preserve">Melbourne University</t>
  </si>
  <si>
    <t xml:space="preserve">UTAS</t>
  </si>
  <si>
    <t xml:space="preserve">University of Tasmania</t>
  </si>
  <si>
    <t xml:space="preserve">Placed under VIC until Tasmania is set up</t>
  </si>
  <si>
    <t xml:space="preserve">UWA</t>
  </si>
  <si>
    <t xml:space="preserve">The University of Western Australia</t>
  </si>
  <si>
    <t xml:space="preserve">CUR</t>
  </si>
  <si>
    <t xml:space="preserve">Curtin University</t>
  </si>
  <si>
    <t xml:space="preserve">Curtin</t>
  </si>
  <si>
    <t xml:space="preserve">ECU</t>
  </si>
  <si>
    <t xml:space="preserve">Edith Cowan University</t>
  </si>
  <si>
    <t xml:space="preserve">MUR</t>
  </si>
  <si>
    <t xml:space="preserve">Murdoch University</t>
  </si>
  <si>
    <t xml:space="preserve">Murdoch</t>
  </si>
  <si>
    <t xml:space="preserve">UNDA</t>
  </si>
  <si>
    <t xml:space="preserve">The University of Notre Dame Australia</t>
  </si>
  <si>
    <t xml:space="preserve">Notre Dame</t>
  </si>
  <si>
    <t xml:space="preserve">USYD</t>
  </si>
  <si>
    <t xml:space="preserve">The University of Sydney</t>
  </si>
  <si>
    <t xml:space="preserve">UNSW</t>
  </si>
  <si>
    <t xml:space="preserve">UNSW Sydney</t>
  </si>
  <si>
    <t xml:space="preserve">UTS</t>
  </si>
  <si>
    <t xml:space="preserve">University of Technology Sydney</t>
  </si>
  <si>
    <t xml:space="preserve">MQ</t>
  </si>
  <si>
    <t xml:space="preserve">Macquarie University</t>
  </si>
  <si>
    <t xml:space="preserve">Macquarie</t>
  </si>
  <si>
    <t xml:space="preserve">WSU</t>
  </si>
  <si>
    <t xml:space="preserve">Western Sydney University</t>
  </si>
  <si>
    <t xml:space="preserve">ACUN</t>
  </si>
  <si>
    <t xml:space="preserve">Australian Catholic University (NSW)</t>
  </si>
  <si>
    <t xml:space="preserve">ACU NSW</t>
  </si>
  <si>
    <t xml:space="preserve">UNDS</t>
  </si>
  <si>
    <t xml:space="preserve">The University of Notre Dame Australia (Sydney)</t>
  </si>
  <si>
    <t xml:space="preserve">Notre Dame Sydney</t>
  </si>
  <si>
    <t xml:space="preserve">UOW</t>
  </si>
  <si>
    <t xml:space="preserve">University of Wollongong</t>
  </si>
  <si>
    <t xml:space="preserve">UON</t>
  </si>
  <si>
    <t xml:space="preserve">University of Newcastle</t>
  </si>
  <si>
    <t xml:space="preserve">Newcastle</t>
  </si>
  <si>
    <t xml:space="preserve">CSU</t>
  </si>
  <si>
    <t xml:space="preserve">Charles Sturt University</t>
  </si>
  <si>
    <t xml:space="preserve">SCU</t>
  </si>
  <si>
    <t xml:space="preserve">Southern Cross University</t>
  </si>
  <si>
    <t xml:space="preserve">UNE</t>
  </si>
  <si>
    <t xml:space="preserve">University of New England</t>
  </si>
  <si>
    <t xml:space="preserve">UQ</t>
  </si>
  <si>
    <t xml:space="preserve">The University of Queensland</t>
  </si>
  <si>
    <t xml:space="preserve">QUT</t>
  </si>
  <si>
    <t xml:space="preserve">Queensland University of Technology</t>
  </si>
  <si>
    <t xml:space="preserve">GU</t>
  </si>
  <si>
    <t xml:space="preserve">Griffith University</t>
  </si>
  <si>
    <t xml:space="preserve">Griffith</t>
  </si>
  <si>
    <t xml:space="preserve">BOND</t>
  </si>
  <si>
    <t xml:space="preserve">Bond University</t>
  </si>
  <si>
    <t xml:space="preserve">Bond</t>
  </si>
  <si>
    <t xml:space="preserve">ACUQ</t>
  </si>
  <si>
    <t xml:space="preserve">Australian Catholic University (QLD)</t>
  </si>
  <si>
    <t xml:space="preserve">ACU Brisbane</t>
  </si>
  <si>
    <t xml:space="preserve">UNISC</t>
  </si>
  <si>
    <t xml:space="preserve">University of the Sunshine Coast</t>
  </si>
  <si>
    <t xml:space="preserve">UniSC</t>
  </si>
  <si>
    <t xml:space="preserve">UNISQ</t>
  </si>
  <si>
    <t xml:space="preserve">University of Southern Queensland</t>
  </si>
  <si>
    <t xml:space="preserve">UniSQ</t>
  </si>
  <si>
    <t xml:space="preserve">JCU</t>
  </si>
  <si>
    <t xml:space="preserve">James Cook University</t>
  </si>
  <si>
    <t xml:space="preserve">CQU</t>
  </si>
  <si>
    <t xml:space="preserve">CQUniversity</t>
  </si>
  <si>
    <t xml:space="preserve">SCUG</t>
  </si>
  <si>
    <t xml:space="preserve">Southern Cross University (Gold Coast)</t>
  </si>
  <si>
    <t xml:space="preserve">SCU Gold Coast</t>
  </si>
  <si>
    <t xml:space="preserve">ADU</t>
  </si>
  <si>
    <t xml:space="preserve">Adelaide University</t>
  </si>
  <si>
    <t xml:space="preserve">Adelaide Uni</t>
  </si>
  <si>
    <t xml:space="preserve">FLI</t>
  </si>
  <si>
    <t xml:space="preserve">Flinders University</t>
  </si>
  <si>
    <t xml:space="preserve">Flinders</t>
  </si>
  <si>
    <t xml:space="preserve">TUA</t>
  </si>
  <si>
    <t xml:space="preserve">Torrens University Australia (Adelaide)</t>
  </si>
  <si>
    <t xml:space="preserve">Torrens Adelaide</t>
  </si>
  <si>
    <t xml:space="preserve">MPOLY</t>
  </si>
  <si>
    <t xml:space="preserve">Melbourne Polytechnic</t>
  </si>
  <si>
    <t xml:space="preserve">BHI</t>
  </si>
  <si>
    <t xml:space="preserve">Box Hill Institute</t>
  </si>
  <si>
    <t xml:space="preserve">HOLM</t>
  </si>
  <si>
    <t xml:space="preserve">Holmesglen Institute</t>
  </si>
  <si>
    <t xml:space="preserve">Holmesglen</t>
  </si>
  <si>
    <t xml:space="preserve">KANG</t>
  </si>
  <si>
    <t xml:space="preserve">Kangan Institute</t>
  </si>
  <si>
    <t xml:space="preserve">Kangan</t>
  </si>
  <si>
    <t xml:space="preserve">BTAFE</t>
  </si>
  <si>
    <t xml:space="preserve">Bendigo TAFE</t>
  </si>
  <si>
    <t xml:space="preserve">CHIS</t>
  </si>
  <si>
    <t xml:space="preserve">Chisholm Institute</t>
  </si>
  <si>
    <t xml:space="preserve">Chisholm</t>
  </si>
  <si>
    <t xml:space="preserve">WAI</t>
  </si>
  <si>
    <t xml:space="preserve">William Angliss Institute</t>
  </si>
  <si>
    <t xml:space="preserve">William Angliss</t>
  </si>
  <si>
    <t xml:space="preserve">GORD</t>
  </si>
  <si>
    <t xml:space="preserve">The Gordon</t>
  </si>
  <si>
    <t xml:space="preserve">SWTAFE</t>
  </si>
  <si>
    <t xml:space="preserve">South West TAFE</t>
  </si>
  <si>
    <t xml:space="preserve">TGIPP</t>
  </si>
  <si>
    <t xml:space="preserve">TAFE Gippsland</t>
  </si>
  <si>
    <t xml:space="preserve">GOTAFE</t>
  </si>
  <si>
    <t xml:space="preserve">WODT</t>
  </si>
  <si>
    <t xml:space="preserve">Wodonga TAFE</t>
  </si>
  <si>
    <t xml:space="preserve">SUNI</t>
  </si>
  <si>
    <t xml:space="preserve">SuniTAFE</t>
  </si>
  <si>
    <t xml:space="preserve">TNSW</t>
  </si>
  <si>
    <t xml:space="preserve">TAFE NSW</t>
  </si>
  <si>
    <t xml:space="preserve">TQLD</t>
  </si>
  <si>
    <t xml:space="preserve">TAFE Queensland</t>
  </si>
  <si>
    <t xml:space="preserve">TSA</t>
  </si>
  <si>
    <t xml:space="preserve">TAFE SA</t>
  </si>
  <si>
    <t xml:space="preserve">NMT</t>
  </si>
  <si>
    <t xml:space="preserve">North Metropolitan TAFE</t>
  </si>
  <si>
    <t xml:space="preserve">North Metro TAFE</t>
  </si>
  <si>
    <t xml:space="preserve">SMT</t>
  </si>
  <si>
    <t xml:space="preserve">South Metropolitan TAFE</t>
  </si>
  <si>
    <t xml:space="preserve">South Metro TAFE</t>
  </si>
  <si>
    <t xml:space="preserve">SRT</t>
  </si>
  <si>
    <t xml:space="preserve">South Regional TAFE</t>
  </si>
  <si>
    <t xml:space="preserve">CRT</t>
  </si>
  <si>
    <t xml:space="preserve">Central Regional TAFE</t>
  </si>
  <si>
    <t xml:space="preserve">NRT</t>
  </si>
  <si>
    <t xml:space="preserve">North Regional TAFE</t>
  </si>
  <si>
    <t xml:space="preserve">MON – Caulfield</t>
  </si>
  <si>
    <t xml:space="preserve">Caulfield</t>
  </si>
  <si>
    <t xml:space="preserve">MON – Clayton</t>
  </si>
  <si>
    <t xml:space="preserve">Clayton</t>
  </si>
  <si>
    <t xml:space="preserve">LTU – Bundoora</t>
  </si>
  <si>
    <t xml:space="preserve">Bundoora</t>
  </si>
  <si>
    <t xml:space="preserve">LTU – Unassigned</t>
  </si>
  <si>
    <t xml:space="preserve">Unassigned</t>
  </si>
  <si>
    <t xml:space="preserve">DEA – Burwood</t>
  </si>
  <si>
    <t xml:space="preserve">Burwood</t>
  </si>
  <si>
    <t xml:space="preserve">RMIT – Brunswick</t>
  </si>
  <si>
    <t xml:space="preserve">Brunswick</t>
  </si>
  <si>
    <t xml:space="preserve">RMIT – Bundoora</t>
  </si>
  <si>
    <t xml:space="preserve">RMIT – CBD</t>
  </si>
  <si>
    <t xml:space="preserve">CBD</t>
  </si>
  <si>
    <t xml:space="preserve">SWI – Hawthorn</t>
  </si>
  <si>
    <t xml:space="preserve">Hawthorn</t>
  </si>
  <si>
    <t xml:space="preserve">UOM – Parkville</t>
  </si>
  <si>
    <t xml:space="preserve">Parkville</t>
  </si>
  <si>
    <t xml:space="preserve">UOM – Werribee</t>
  </si>
  <si>
    <t xml:space="preserve">Werribee</t>
  </si>
  <si>
    <t xml:space="preserve">UWA – Crawley</t>
  </si>
  <si>
    <t xml:space="preserve">Crawley</t>
  </si>
  <si>
    <t xml:space="preserve">CUR – Bentley</t>
  </si>
  <si>
    <t xml:space="preserve">Bentley</t>
  </si>
  <si>
    <t xml:space="preserve">ECU – Joondalup</t>
  </si>
  <si>
    <t xml:space="preserve">Joondalup</t>
  </si>
  <si>
    <t xml:space="preserve">ECU – Mount Lawley</t>
  </si>
  <si>
    <t xml:space="preserve">Mount Lawley</t>
  </si>
  <si>
    <t xml:space="preserve">MUR – Perth (Murdoch)</t>
  </si>
  <si>
    <t xml:space="preserve">Perth (Murdoch)</t>
  </si>
  <si>
    <t xml:space="preserve">UNDA – Fremantle</t>
  </si>
  <si>
    <t xml:space="preserve">Fremantle</t>
  </si>
  <si>
    <t xml:space="preserve">USYD – Camperdown/Darlington</t>
  </si>
  <si>
    <t xml:space="preserve">Camperdown/Darlington</t>
  </si>
  <si>
    <t xml:space="preserve">UNSW – Kensington</t>
  </si>
  <si>
    <t xml:space="preserve">Kensington</t>
  </si>
  <si>
    <t xml:space="preserve">UNSW – Paddington</t>
  </si>
  <si>
    <t xml:space="preserve">Paddington</t>
  </si>
  <si>
    <t xml:space="preserve">UTS – City (Broadway)</t>
  </si>
  <si>
    <t xml:space="preserve">City (Broadway)</t>
  </si>
  <si>
    <t xml:space="preserve">MQ – Macquarie Park</t>
  </si>
  <si>
    <t xml:space="preserve">Macquarie Park</t>
  </si>
  <si>
    <t xml:space="preserve">WSU – Parramatta</t>
  </si>
  <si>
    <t xml:space="preserve">Parramatta</t>
  </si>
  <si>
    <t xml:space="preserve">WSU – Penrith</t>
  </si>
  <si>
    <t xml:space="preserve">Penrith</t>
  </si>
  <si>
    <t xml:space="preserve">WSU – Campbelltown</t>
  </si>
  <si>
    <t xml:space="preserve">Campbelltown</t>
  </si>
  <si>
    <t xml:space="preserve">WSU – Bankstown</t>
  </si>
  <si>
    <t xml:space="preserve">Bankstown</t>
  </si>
  <si>
    <t xml:space="preserve">WSU – Liverpool</t>
  </si>
  <si>
    <t xml:space="preserve">Liverpool</t>
  </si>
  <si>
    <t xml:space="preserve">WSU – Hawkesbury</t>
  </si>
  <si>
    <t xml:space="preserve">Hawkesbury</t>
  </si>
  <si>
    <t xml:space="preserve">ACUN – North Sydney</t>
  </si>
  <si>
    <t xml:space="preserve">North Sydney</t>
  </si>
  <si>
    <t xml:space="preserve">ACUN – Strathfield</t>
  </si>
  <si>
    <t xml:space="preserve">Strathfield</t>
  </si>
  <si>
    <t xml:space="preserve">ACUN – Blacktown</t>
  </si>
  <si>
    <t xml:space="preserve">Blacktown</t>
  </si>
  <si>
    <t xml:space="preserve">UNDS – Broadway</t>
  </si>
  <si>
    <t xml:space="preserve">Broadway</t>
  </si>
  <si>
    <t xml:space="preserve">UNDS – Darlinghurst</t>
  </si>
  <si>
    <t xml:space="preserve">Darlinghurst</t>
  </si>
  <si>
    <t xml:space="preserve">UOW – Wollongong</t>
  </si>
  <si>
    <t xml:space="preserve">Wollongong</t>
  </si>
  <si>
    <t xml:space="preserve">UON – Callaghan</t>
  </si>
  <si>
    <t xml:space="preserve">Callaghan</t>
  </si>
  <si>
    <t xml:space="preserve">UON – Newcastle City</t>
  </si>
  <si>
    <t xml:space="preserve">Newcastle City</t>
  </si>
  <si>
    <t xml:space="preserve">CSU – Bathurst</t>
  </si>
  <si>
    <t xml:space="preserve">Bathurst</t>
  </si>
  <si>
    <t xml:space="preserve">CSU – Wagga Wagga</t>
  </si>
  <si>
    <t xml:space="preserve">Wagga Wagga</t>
  </si>
  <si>
    <t xml:space="preserve">CSU – Albury-Wodonga</t>
  </si>
  <si>
    <t xml:space="preserve">Albury-Wodonga</t>
  </si>
  <si>
    <t xml:space="preserve">CSU – Port Macquarie</t>
  </si>
  <si>
    <t xml:space="preserve">Port Macquarie</t>
  </si>
  <si>
    <t xml:space="preserve">SCU – Lismore</t>
  </si>
  <si>
    <t xml:space="preserve">Lismore</t>
  </si>
  <si>
    <t xml:space="preserve">SCU – Coffs Harbour</t>
  </si>
  <si>
    <t xml:space="preserve">Coffs Harbour</t>
  </si>
  <si>
    <t xml:space="preserve">UNE – Armidale</t>
  </si>
  <si>
    <t xml:space="preserve">Armidale</t>
  </si>
  <si>
    <t xml:space="preserve">UQ – St Lucia</t>
  </si>
  <si>
    <t xml:space="preserve">St Lucia</t>
  </si>
  <si>
    <t xml:space="preserve">UQ – Herston</t>
  </si>
  <si>
    <t xml:space="preserve">Herston</t>
  </si>
  <si>
    <t xml:space="preserve">UQ – Gatton</t>
  </si>
  <si>
    <t xml:space="preserve">Gatton</t>
  </si>
  <si>
    <t xml:space="preserve">QUT – Gardens Point</t>
  </si>
  <si>
    <t xml:space="preserve">Gardens Point</t>
  </si>
  <si>
    <t xml:space="preserve">QUT – Kelvin Grove</t>
  </si>
  <si>
    <t xml:space="preserve">Kelvin Grove</t>
  </si>
  <si>
    <t xml:space="preserve">GU – Gold Coast</t>
  </si>
  <si>
    <t xml:space="preserve">Gold Coast</t>
  </si>
  <si>
    <t xml:space="preserve">GU – Nathan</t>
  </si>
  <si>
    <t xml:space="preserve">Nathan</t>
  </si>
  <si>
    <t xml:space="preserve">GU – Mt Gravatt</t>
  </si>
  <si>
    <t xml:space="preserve">Mt Gravatt</t>
  </si>
  <si>
    <t xml:space="preserve">GU – South Bank</t>
  </si>
  <si>
    <t xml:space="preserve">South Bank</t>
  </si>
  <si>
    <t xml:space="preserve">GU – Logan</t>
  </si>
  <si>
    <t xml:space="preserve">Logan</t>
  </si>
  <si>
    <t xml:space="preserve">BOND – Robina</t>
  </si>
  <si>
    <t xml:space="preserve">Robina</t>
  </si>
  <si>
    <t xml:space="preserve">ACUQ – Banyo</t>
  </si>
  <si>
    <t xml:space="preserve">Banyo</t>
  </si>
  <si>
    <t xml:space="preserve">UNISC – Sippy Downs</t>
  </si>
  <si>
    <t xml:space="preserve">Sippy Downs</t>
  </si>
  <si>
    <t xml:space="preserve">UNISC – Moreton Bay</t>
  </si>
  <si>
    <t xml:space="preserve">Moreton Bay</t>
  </si>
  <si>
    <t xml:space="preserve">UNISQ – Toowoomba</t>
  </si>
  <si>
    <t xml:space="preserve">Toowoomba</t>
  </si>
  <si>
    <t xml:space="preserve">UNISQ – Springfield</t>
  </si>
  <si>
    <t xml:space="preserve">Springfield</t>
  </si>
  <si>
    <t xml:space="preserve">UNISQ – Ipswich</t>
  </si>
  <si>
    <t xml:space="preserve">Ipswich</t>
  </si>
  <si>
    <t xml:space="preserve">JCU – Townsville</t>
  </si>
  <si>
    <t xml:space="preserve">Townsville</t>
  </si>
  <si>
    <t xml:space="preserve">JCU – Cairns</t>
  </si>
  <si>
    <t xml:space="preserve">Cairns</t>
  </si>
  <si>
    <t xml:space="preserve">CQU – Rockhampton</t>
  </si>
  <si>
    <t xml:space="preserve">Rockhampton</t>
  </si>
  <si>
    <t xml:space="preserve">CQU – Brisbane</t>
  </si>
  <si>
    <t xml:space="preserve">Brisbane</t>
  </si>
  <si>
    <t xml:space="preserve">CQU – Mackay</t>
  </si>
  <si>
    <t xml:space="preserve">Mackay</t>
  </si>
  <si>
    <t xml:space="preserve">SCUG – Gold Coast (Coolangatta)</t>
  </si>
  <si>
    <t xml:space="preserve">Gold Coast (Coolangatta)</t>
  </si>
  <si>
    <t xml:space="preserve">ADU – City (North Terrace)</t>
  </si>
  <si>
    <t xml:space="preserve">City (North Terrace)</t>
  </si>
  <si>
    <t xml:space="preserve">ADU – City East</t>
  </si>
  <si>
    <t xml:space="preserve">City East</t>
  </si>
  <si>
    <t xml:space="preserve">ADU – City West</t>
  </si>
  <si>
    <t xml:space="preserve">City West</t>
  </si>
  <si>
    <t xml:space="preserve">ADU – Magill</t>
  </si>
  <si>
    <t xml:space="preserve">Magill</t>
  </si>
  <si>
    <t xml:space="preserve">ADU – Mawson Lakes</t>
  </si>
  <si>
    <t xml:space="preserve">Mawson Lakes</t>
  </si>
  <si>
    <t xml:space="preserve">ADU – Waite</t>
  </si>
  <si>
    <t xml:space="preserve">Waite</t>
  </si>
  <si>
    <t xml:space="preserve">ADU – Roseworthy</t>
  </si>
  <si>
    <t xml:space="preserve">Roseworthy</t>
  </si>
  <si>
    <t xml:space="preserve">ADU – Whyalla</t>
  </si>
  <si>
    <t xml:space="preserve">Whyalla</t>
  </si>
  <si>
    <t xml:space="preserve">ADU – Mount Gambier</t>
  </si>
  <si>
    <t xml:space="preserve">Mount Gambier</t>
  </si>
  <si>
    <t xml:space="preserve">FLI – Bedford Park</t>
  </si>
  <si>
    <t xml:space="preserve">Bedford Park</t>
  </si>
  <si>
    <t xml:space="preserve">FLI – Tonsley</t>
  </si>
  <si>
    <t xml:space="preserve">Tonsley</t>
  </si>
  <si>
    <t xml:space="preserve">FLI – Victoria Square (City)</t>
  </si>
  <si>
    <t xml:space="preserve">Victoria Square (City)</t>
  </si>
  <si>
    <t xml:space="preserve">TUA – Adelaide City</t>
  </si>
  <si>
    <t xml:space="preserve">Adelaide City</t>
  </si>
  <si>
    <t xml:space="preserve">MPOLY – Preston</t>
  </si>
  <si>
    <t xml:space="preserve">Preston</t>
  </si>
  <si>
    <t xml:space="preserve">MPOLY – Collingwood</t>
  </si>
  <si>
    <t xml:space="preserve">Collingwood</t>
  </si>
  <si>
    <t xml:space="preserve">MPOLY – Heidelberg</t>
  </si>
  <si>
    <t xml:space="preserve">Heidelberg</t>
  </si>
  <si>
    <t xml:space="preserve">MPOLY – Epping</t>
  </si>
  <si>
    <t xml:space="preserve">Epping</t>
  </si>
  <si>
    <t xml:space="preserve">MPOLY – Fairfield</t>
  </si>
  <si>
    <t xml:space="preserve">Fairfield</t>
  </si>
  <si>
    <t xml:space="preserve">MPOLY – Prahran</t>
  </si>
  <si>
    <t xml:space="preserve">Prahran</t>
  </si>
  <si>
    <t xml:space="preserve">BHI – Box Hill (Elgar)</t>
  </si>
  <si>
    <t xml:space="preserve">Box Hill (Elgar)</t>
  </si>
  <si>
    <t xml:space="preserve">BHI – Box Hill (Nelson)</t>
  </si>
  <si>
    <t xml:space="preserve">Box Hill (Nelson)</t>
  </si>
  <si>
    <t xml:space="preserve">BHI – Lilydale</t>
  </si>
  <si>
    <t xml:space="preserve">Lilydale</t>
  </si>
  <si>
    <t xml:space="preserve">BHI – Melbourne City</t>
  </si>
  <si>
    <t xml:space="preserve">Melbourne City</t>
  </si>
  <si>
    <t xml:space="preserve">HOLM – Chadstone</t>
  </si>
  <si>
    <t xml:space="preserve">Chadstone</t>
  </si>
  <si>
    <t xml:space="preserve">HOLM – Glen Waverley</t>
  </si>
  <si>
    <t xml:space="preserve">Glen Waverley</t>
  </si>
  <si>
    <t xml:space="preserve">HOLM – Moorabbin</t>
  </si>
  <si>
    <t xml:space="preserve">Moorabbin</t>
  </si>
  <si>
    <t xml:space="preserve">KANG – Broadmeadows</t>
  </si>
  <si>
    <t xml:space="preserve">Broadmeadows</t>
  </si>
  <si>
    <t xml:space="preserve">KANG – Docklands</t>
  </si>
  <si>
    <t xml:space="preserve">Docklands</t>
  </si>
  <si>
    <t xml:space="preserve">KANG – Richmond</t>
  </si>
  <si>
    <t xml:space="preserve">Richmond</t>
  </si>
  <si>
    <t xml:space="preserve">KANG – Moonee Ponds</t>
  </si>
  <si>
    <t xml:space="preserve">Moonee Ponds</t>
  </si>
  <si>
    <t xml:space="preserve">KANG – Cremorne</t>
  </si>
  <si>
    <t xml:space="preserve">Cremorne</t>
  </si>
  <si>
    <t xml:space="preserve">BTAFE – Bendigo City</t>
  </si>
  <si>
    <t xml:space="preserve">Bendigo City</t>
  </si>
  <si>
    <t xml:space="preserve">BTAFE – Charles Street</t>
  </si>
  <si>
    <t xml:space="preserve">Charles Street</t>
  </si>
  <si>
    <t xml:space="preserve">BTAFE – Castlemaine</t>
  </si>
  <si>
    <t xml:space="preserve">Castlemaine</t>
  </si>
  <si>
    <t xml:space="preserve">BTAFE – Echuca</t>
  </si>
  <si>
    <t xml:space="preserve">Echuca</t>
  </si>
  <si>
    <t xml:space="preserve">CHIS – Dandenong</t>
  </si>
  <si>
    <t xml:space="preserve">Dandenong</t>
  </si>
  <si>
    <t xml:space="preserve">CHIS – Frankston</t>
  </si>
  <si>
    <t xml:space="preserve">Frankston</t>
  </si>
  <si>
    <t xml:space="preserve">CHIS – Berwick</t>
  </si>
  <si>
    <t xml:space="preserve">Berwick</t>
  </si>
  <si>
    <t xml:space="preserve">CHIS – Cranbourne</t>
  </si>
  <si>
    <t xml:space="preserve">Cranbourne</t>
  </si>
  <si>
    <t xml:space="preserve">CHIS – Mornington Peninsula</t>
  </si>
  <si>
    <t xml:space="preserve">Mornington Peninsula</t>
  </si>
  <si>
    <t xml:space="preserve">WAI – Melbourne City</t>
  </si>
  <si>
    <t xml:space="preserve">GORD – Geelong City</t>
  </si>
  <si>
    <t xml:space="preserve">Geelong City</t>
  </si>
  <si>
    <t xml:space="preserve">GORD – East Geelong</t>
  </si>
  <si>
    <t xml:space="preserve">East Geelong</t>
  </si>
  <si>
    <t xml:space="preserve">GORD – Werribee</t>
  </si>
  <si>
    <t xml:space="preserve">SWTAFE – Warrnambool</t>
  </si>
  <si>
    <t xml:space="preserve">Warrnambool</t>
  </si>
  <si>
    <t xml:space="preserve">SWTAFE – Hamilton</t>
  </si>
  <si>
    <t xml:space="preserve">Hamilton</t>
  </si>
  <si>
    <t xml:space="preserve">SWTAFE – Portland</t>
  </si>
  <si>
    <t xml:space="preserve">Portland</t>
  </si>
  <si>
    <t xml:space="preserve">TGIPP – Morwell</t>
  </si>
  <si>
    <t xml:space="preserve">Morwell</t>
  </si>
  <si>
    <t xml:space="preserve">TGIPP – Sale</t>
  </si>
  <si>
    <t xml:space="preserve">Sale</t>
  </si>
  <si>
    <t xml:space="preserve">TGIPP – Bairnsdale</t>
  </si>
  <si>
    <t xml:space="preserve">Bairnsdale</t>
  </si>
  <si>
    <t xml:space="preserve">TGIPP – Leongatha</t>
  </si>
  <si>
    <t xml:space="preserve">Leongatha</t>
  </si>
  <si>
    <t xml:space="preserve">GOTAFE – Shepparton</t>
  </si>
  <si>
    <t xml:space="preserve">Shepparton</t>
  </si>
  <si>
    <t xml:space="preserve">GOTAFE – Wangaratta</t>
  </si>
  <si>
    <t xml:space="preserve">Wangaratta</t>
  </si>
  <si>
    <t xml:space="preserve">GOTAFE – Benalla</t>
  </si>
  <si>
    <t xml:space="preserve">Benalla</t>
  </si>
  <si>
    <t xml:space="preserve">GOTAFE – Seymour</t>
  </si>
  <si>
    <t xml:space="preserve">Seymour</t>
  </si>
  <si>
    <t xml:space="preserve">WODT – Wodonga</t>
  </si>
  <si>
    <t xml:space="preserve">Wodonga</t>
  </si>
  <si>
    <t xml:space="preserve">SUNI – Mildura</t>
  </si>
  <si>
    <t xml:space="preserve">Mildura</t>
  </si>
  <si>
    <t xml:space="preserve">SUNI – Swan Hill</t>
  </si>
  <si>
    <t xml:space="preserve">Swan Hill</t>
  </si>
  <si>
    <t xml:space="preserve">TNSW – Ultimo</t>
  </si>
  <si>
    <t xml:space="preserve">Ultimo</t>
  </si>
  <si>
    <t xml:space="preserve">TNSW – Randwick</t>
  </si>
  <si>
    <t xml:space="preserve">Randwick</t>
  </si>
  <si>
    <t xml:space="preserve">TNSW – Meadowbank</t>
  </si>
  <si>
    <t xml:space="preserve">Meadowbank</t>
  </si>
  <si>
    <t xml:space="preserve">TNSW – Ryde</t>
  </si>
  <si>
    <t xml:space="preserve">Ryde</t>
  </si>
  <si>
    <t xml:space="preserve">TNSW – Hornsby</t>
  </si>
  <si>
    <t xml:space="preserve">Hornsby</t>
  </si>
  <si>
    <t xml:space="preserve">TNSW – Northern Beaches</t>
  </si>
  <si>
    <t xml:space="preserve">Northern Beaches</t>
  </si>
  <si>
    <t xml:space="preserve">TNSW – St Leonards</t>
  </si>
  <si>
    <t xml:space="preserve">St Leonards</t>
  </si>
  <si>
    <t xml:space="preserve">TNSW – Granville</t>
  </si>
  <si>
    <t xml:space="preserve">Granville</t>
  </si>
  <si>
    <t xml:space="preserve">TNSW – Bankstown</t>
  </si>
  <si>
    <t xml:space="preserve">TNSW – Liverpool</t>
  </si>
  <si>
    <t xml:space="preserve">TNSW – Campbelltown</t>
  </si>
  <si>
    <t xml:space="preserve">TNSW – Kingswood</t>
  </si>
  <si>
    <t xml:space="preserve">Kingswood</t>
  </si>
  <si>
    <t xml:space="preserve">TNSW – Blacktown</t>
  </si>
  <si>
    <t xml:space="preserve">TNSW – Newcastle</t>
  </si>
  <si>
    <t xml:space="preserve">TNSW – Hamilton</t>
  </si>
  <si>
    <t xml:space="preserve">TNSW – Wollongong</t>
  </si>
  <si>
    <t xml:space="preserve">TNSW – Gosford</t>
  </si>
  <si>
    <t xml:space="preserve">Gosford</t>
  </si>
  <si>
    <t xml:space="preserve">TQLD – South Bank</t>
  </si>
  <si>
    <t xml:space="preserve">TQLD – Eagle Farm</t>
  </si>
  <si>
    <t xml:space="preserve">Eagle Farm</t>
  </si>
  <si>
    <t xml:space="preserve">TQLD – Mount Gravatt</t>
  </si>
  <si>
    <t xml:space="preserve">Mount Gravatt</t>
  </si>
  <si>
    <t xml:space="preserve">TQLD – Loganlea</t>
  </si>
  <si>
    <t xml:space="preserve">Loganlea</t>
  </si>
  <si>
    <t xml:space="preserve">TQLD – Redcliffe</t>
  </si>
  <si>
    <t xml:space="preserve">Redcliffe</t>
  </si>
  <si>
    <t xml:space="preserve">TQLD – Acacia Ridge (SkillsTech)</t>
  </si>
  <si>
    <t xml:space="preserve">Acacia Ridge (SkillsTech)</t>
  </si>
  <si>
    <t xml:space="preserve">TQLD – Southport</t>
  </si>
  <si>
    <t xml:space="preserve">Southport</t>
  </si>
  <si>
    <t xml:space="preserve">TQLD – Coomera</t>
  </si>
  <si>
    <t xml:space="preserve">Coomera</t>
  </si>
  <si>
    <t xml:space="preserve">TQLD – Ashmore</t>
  </si>
  <si>
    <t xml:space="preserve">Ashmore</t>
  </si>
  <si>
    <t xml:space="preserve">TQLD – Mooloolaba</t>
  </si>
  <si>
    <t xml:space="preserve">Mooloolaba</t>
  </si>
  <si>
    <t xml:space="preserve">TQLD – Ipswich</t>
  </si>
  <si>
    <t xml:space="preserve">TQLD – Toowoomba</t>
  </si>
  <si>
    <t xml:space="preserve">TQLD – Townsville (Pimlico)</t>
  </si>
  <si>
    <t xml:space="preserve">Townsville (Pimlico)</t>
  </si>
  <si>
    <t xml:space="preserve">TQLD – Cairns</t>
  </si>
  <si>
    <t xml:space="preserve">TSA – Adelaide City</t>
  </si>
  <si>
    <t xml:space="preserve">TSA – Regency Park</t>
  </si>
  <si>
    <t xml:space="preserve">Regency Park</t>
  </si>
  <si>
    <t xml:space="preserve">TSA – Tonsley</t>
  </si>
  <si>
    <t xml:space="preserve">TSA – Elizabeth</t>
  </si>
  <si>
    <t xml:space="preserve">Elizabeth</t>
  </si>
  <si>
    <t xml:space="preserve">TSA – Salisbury</t>
  </si>
  <si>
    <t xml:space="preserve">Salisbury</t>
  </si>
  <si>
    <t xml:space="preserve">TSA – Noarlunga</t>
  </si>
  <si>
    <t xml:space="preserve">Noarlunga</t>
  </si>
  <si>
    <t xml:space="preserve">TSA – Mount Barker</t>
  </si>
  <si>
    <t xml:space="preserve">Mount Barker</t>
  </si>
  <si>
    <t xml:space="preserve">TSA – Mount Gambier</t>
  </si>
  <si>
    <t xml:space="preserve">TSA – Whyalla</t>
  </si>
  <si>
    <t xml:space="preserve">TSA – Port Augusta</t>
  </si>
  <si>
    <t xml:space="preserve">Port Augusta</t>
  </si>
  <si>
    <t xml:space="preserve">NMT – Perth</t>
  </si>
  <si>
    <t xml:space="preserve">Perth</t>
  </si>
  <si>
    <t xml:space="preserve">NMT – East Perth</t>
  </si>
  <si>
    <t xml:space="preserve">East Perth</t>
  </si>
  <si>
    <t xml:space="preserve">NMT – Leederville</t>
  </si>
  <si>
    <t xml:space="preserve">Leederville</t>
  </si>
  <si>
    <t xml:space="preserve">NMT – Joondalup</t>
  </si>
  <si>
    <t xml:space="preserve">NMT – Midland</t>
  </si>
  <si>
    <t xml:space="preserve">Midland</t>
  </si>
  <si>
    <t xml:space="preserve">NMT – Balga</t>
  </si>
  <si>
    <t xml:space="preserve">Balga</t>
  </si>
  <si>
    <t xml:space="preserve">NMT – Clarkson</t>
  </si>
  <si>
    <t xml:space="preserve">Clarkson</t>
  </si>
  <si>
    <t xml:space="preserve">SMT – Bentley</t>
  </si>
  <si>
    <t xml:space="preserve">SMT – Fremantle</t>
  </si>
  <si>
    <t xml:space="preserve">SMT – Murdoch</t>
  </si>
  <si>
    <t xml:space="preserve">SMT – Rockingham</t>
  </si>
  <si>
    <t xml:space="preserve">Rockingham</t>
  </si>
  <si>
    <t xml:space="preserve">SMT – Thornlie</t>
  </si>
  <si>
    <t xml:space="preserve">Thornlie</t>
  </si>
  <si>
    <t xml:space="preserve">SMT – Carlisle</t>
  </si>
  <si>
    <t xml:space="preserve">Carlisle</t>
  </si>
  <si>
    <t xml:space="preserve">SMT – Jandakot</t>
  </si>
  <si>
    <t xml:space="preserve">Jandakot</t>
  </si>
  <si>
    <t xml:space="preserve">SRT – Bunbury</t>
  </si>
  <si>
    <t xml:space="preserve">Bunbury</t>
  </si>
  <si>
    <t xml:space="preserve">SRT – Albany</t>
  </si>
  <si>
    <t xml:space="preserve">Albany</t>
  </si>
  <si>
    <t xml:space="preserve">SRT – Busselton</t>
  </si>
  <si>
    <t xml:space="preserve">Busselton</t>
  </si>
  <si>
    <t xml:space="preserve">CRT – Geraldton</t>
  </si>
  <si>
    <t xml:space="preserve">Geraldton</t>
  </si>
  <si>
    <t xml:space="preserve">CRT – Northam</t>
  </si>
  <si>
    <t xml:space="preserve">Northam</t>
  </si>
  <si>
    <t xml:space="preserve">CRT – Kalgoorlie</t>
  </si>
  <si>
    <t xml:space="preserve">Kalgoorlie</t>
  </si>
  <si>
    <t xml:space="preserve">NRT – Broome</t>
  </si>
  <si>
    <t xml:space="preserve">Broome</t>
  </si>
  <si>
    <t xml:space="preserve">NRT – Karratha</t>
  </si>
  <si>
    <t xml:space="preserve">Karratha</t>
  </si>
  <si>
    <t xml:space="preserve">NRT – Port Hedland</t>
  </si>
  <si>
    <t xml:space="preserve">Port Hedland</t>
  </si>
  <si>
    <t xml:space="preserve">Store Contact</t>
  </si>
  <si>
    <t xml:space="preserve">DEA-001</t>
  </si>
  <si>
    <t xml:space="preserve">123 Sushi</t>
  </si>
  <si>
    <t xml:space="preserve">2026-10-08</t>
  </si>
  <si>
    <t xml:space="preserve">221 Burwood Hwy, Melbourne</t>
  </si>
  <si>
    <t xml:space="preserve">3125</t>
  </si>
  <si>
    <t xml:space="preserve">Resident side of foot bridge</t>
  </si>
  <si>
    <t xml:space="preserve">Jordan</t>
  </si>
  <si>
    <t xml:space="preserve">Leave for a while, when not busy attempt to set up more POS</t>
  </si>
  <si>
    <t xml:space="preserve">DEA-002</t>
  </si>
  <si>
    <t xml:space="preserve">Caffine</t>
  </si>
  <si>
    <t xml:space="preserve">Inside LT Building</t>
  </si>
  <si>
    <t xml:space="preserve">Leave for a while, next time bring cardboard piece POS for on top on fridge</t>
  </si>
  <si>
    <t xml:space="preserve">DEA-003</t>
  </si>
  <si>
    <t xml:space="preserve">Little Bang</t>
  </si>
  <si>
    <t xml:space="preserve">Law Building</t>
  </si>
  <si>
    <t xml:space="preserve">Bring slabs of editions to try, costco does not supply these so direct to keane if wanting to repurchase</t>
  </si>
  <si>
    <t xml:space="preserve">DEA-004</t>
  </si>
  <si>
    <t xml:space="preserve">The Social</t>
  </si>
  <si>
    <t xml:space="preserve">Corner cafe</t>
  </si>
  <si>
    <t xml:space="preserve">Check in on comms between Keane and Shane, as ae currently out of stock. When nee fridge in place (15th/5) place new POS</t>
  </si>
  <si>
    <t xml:space="preserve">LTU-001</t>
  </si>
  <si>
    <t xml:space="preserve">Grafali's</t>
  </si>
  <si>
    <t xml:space="preserve">The Agora, Bundoora VIC 3083</t>
  </si>
  <si>
    <t xml:space="preserve">3083</t>
  </si>
  <si>
    <t xml:space="preserve">The Agora</t>
  </si>
  <si>
    <t xml:space="preserve">Trialling zero. Check in to see how goes, POS</t>
  </si>
  <si>
    <t xml:space="preserve">LTU-002</t>
  </si>
  <si>
    <t xml:space="preserve">Charlie's Kebabs</t>
  </si>
  <si>
    <t xml:space="preserve">Gave cherry to try and win some shelf space</t>
  </si>
  <si>
    <t xml:space="preserve">LTU-003</t>
  </si>
  <si>
    <t xml:space="preserve">Library Coffee Shop</t>
  </si>
  <si>
    <t xml:space="preserve">Busy, they sell but out of stock</t>
  </si>
  <si>
    <t xml:space="preserve">LTU-004</t>
  </si>
  <si>
    <t xml:space="preserve">Bachelor of Coffee</t>
  </si>
  <si>
    <t xml:space="preserve">Gave sudachi lime to trial</t>
  </si>
  <si>
    <t xml:space="preserve">LTU-005</t>
  </si>
  <si>
    <t xml:space="preserve">Grain Express</t>
  </si>
  <si>
    <t xml:space="preserve">Manager not in. Lack of English did not understand. Big moster prescence with big branded fridge. Gave cherry to trial</t>
  </si>
  <si>
    <t xml:space="preserve">LTU-006</t>
  </si>
  <si>
    <t xml:space="preserve">House of Cards</t>
  </si>
  <si>
    <t xml:space="preserve">Don't range energy drinks</t>
  </si>
  <si>
    <t xml:space="preserve">LTU-007</t>
  </si>
  <si>
    <t xml:space="preserve">Thanh Thanh</t>
  </si>
  <si>
    <t xml:space="preserve">Not selling anymore coke contract lol</t>
  </si>
  <si>
    <t xml:space="preserve">LTU-008</t>
  </si>
  <si>
    <t xml:space="preserve">Fuel Juice Bar</t>
  </si>
  <si>
    <t xml:space="preserve">LTU-009</t>
  </si>
  <si>
    <t xml:space="preserve">Caffeine</t>
  </si>
  <si>
    <t xml:space="preserve">Replaced back of can glorifier with generic POS.</t>
  </si>
  <si>
    <t xml:space="preserve">LTU-010</t>
  </si>
  <si>
    <t xml:space="preserve">Bread &amp; Butta</t>
  </si>
  <si>
    <t xml:space="preserve">5 Ring Rd, Bundoora</t>
  </si>
  <si>
    <t xml:space="preserve">Agribio Bldg</t>
  </si>
  <si>
    <t xml:space="preserve">Couldn't visit so we called the VM (Brad). They also sell Mother</t>
  </si>
  <si>
    <t xml:space="preserve">LTU-011</t>
  </si>
  <si>
    <t xml:space="preserve">La Trobe Sports Stadium</t>
  </si>
  <si>
    <t xml:space="preserve">Sports Dr, Bundoora VIC 3083</t>
  </si>
  <si>
    <t xml:space="preserve">Spoke with Brad who owns Latrobe sports stadium and Bread and Butta</t>
  </si>
  <si>
    <t xml:space="preserve">LTU-012</t>
  </si>
  <si>
    <t xml:space="preserve">La trobe Indoor Sports Centre</t>
  </si>
  <si>
    <t xml:space="preserve">Centreway, Bundoora VIC 3081</t>
  </si>
  <si>
    <t xml:space="preserve">LTU-013</t>
  </si>
  <si>
    <t xml:space="preserve">Mamak rice and noodle</t>
  </si>
  <si>
    <t xml:space="preserve">Closed.</t>
  </si>
  <si>
    <t xml:space="preserve">LTU-014</t>
  </si>
  <si>
    <t xml:space="preserve">Paparich</t>
  </si>
  <si>
    <t xml:space="preserve">MON-001</t>
  </si>
  <si>
    <t xml:space="preserve">Chancellors walk, Clayton</t>
  </si>
  <si>
    <t xml:space="preserve">3168</t>
  </si>
  <si>
    <t xml:space="preserve">Campus Centre</t>
  </si>
  <si>
    <t xml:space="preserve">New single door fridge installed to replace old baby back cooler, looks great and F••• is very happy. Needs some new POS and price tags for cans in the fridge</t>
  </si>
  <si>
    <t xml:space="preserve">MON-002</t>
  </si>
  <si>
    <t xml:space="preserve">Joe's Pizzeria</t>
  </si>
  <si>
    <t xml:space="preserve">Campus Centre, Clayton</t>
  </si>
  <si>
    <t xml:space="preserve">None</t>
  </si>
  <si>
    <t xml:space="preserve">Cooler installed a few weeks ago, staff says its moving okay, currently not ordering through a distributer, staff are avoiding haning out owners number</t>
  </si>
  <si>
    <t xml:space="preserve">MON-003</t>
  </si>
  <si>
    <t xml:space="preserve">Ma Long Kitchen</t>
  </si>
  <si>
    <t xml:space="preserve">13 Coolege walk, Clayton</t>
  </si>
  <si>
    <t xml:space="preserve">Hargraves Library G Floor</t>
  </si>
  <si>
    <t xml:space="preserve">Spoke to owner Ma Long, hes very happy with how Red Bull is selling atm, Has ordered more editons to be delivered Thursday</t>
  </si>
  <si>
    <t xml:space="preserve">MON-004</t>
  </si>
  <si>
    <t xml:space="preserve">Secret Garden Eatery</t>
  </si>
  <si>
    <t xml:space="preserve">13 College wlak, Clayton</t>
  </si>
  <si>
    <t xml:space="preserve">Monster fridge with main placement, Ma Long does not want to move Monster away or add Red Bull to fridge, just need to keep showing up, POS would be good</t>
  </si>
  <si>
    <t xml:space="preserve">MON-005</t>
  </si>
  <si>
    <t xml:space="preserve">Neptune's Seafood</t>
  </si>
  <si>
    <t xml:space="preserve">21 Chancellors walk, Clayton</t>
  </si>
  <si>
    <t xml:space="preserve">Good relationship with Calvin (manager). Currently have double door cooler, trialing SF Sakura Cherry to expand edition range, POS is being removed, looing for POS around self serve</t>
  </si>
  <si>
    <t xml:space="preserve">MON-006</t>
  </si>
  <si>
    <t xml:space="preserve">Swift's</t>
  </si>
  <si>
    <t xml:space="preserve">Exhibition walk, Clayton</t>
  </si>
  <si>
    <t xml:space="preserve">Mathiseon Library</t>
  </si>
  <si>
    <t xml:space="preserve">Owner does not like Red Bull. Popped in and say hi</t>
  </si>
  <si>
    <t xml:space="preserve">MON-007</t>
  </si>
  <si>
    <t xml:space="preserve">The Count's</t>
  </si>
  <si>
    <t xml:space="preserve">48 Exhibition walk, Clayton</t>
  </si>
  <si>
    <t xml:space="preserve">48 Exhibition Walk The Ian Potter Centre for Performing Arts</t>
  </si>
  <si>
    <t xml:space="preserve">Tough relationship to manage. Owner does not like Red Bull. Continue to pop in and say hi</t>
  </si>
  <si>
    <t xml:space="preserve">MON-008</t>
  </si>
  <si>
    <t xml:space="preserve">Artichoke and Whitebait</t>
  </si>
  <si>
    <t xml:space="preserve">21 chancellors walk, Clayton</t>
  </si>
  <si>
    <t xml:space="preserve">Tough relationship to manage, Owner uses translater. Get his A-frame set up out the front</t>
  </si>
  <si>
    <t xml:space="preserve">MON-009</t>
  </si>
  <si>
    <t xml:space="preserve">Café Cinque Lire</t>
  </si>
  <si>
    <t xml:space="preserve">15 Innovation walk, Clayton</t>
  </si>
  <si>
    <t xml:space="preserve">15 Innovation Walk</t>
  </si>
  <si>
    <t xml:space="preserve">Sell in Menu Board and get Menu Entry for Hi-5</t>
  </si>
  <si>
    <t xml:space="preserve">MON-010</t>
  </si>
  <si>
    <t xml:space="preserve">Café Nesso</t>
  </si>
  <si>
    <t xml:space="preserve">19 Ancora Imparo Wy, Clayton</t>
  </si>
  <si>
    <t xml:space="preserve">Learning and Teaching Building G Floor</t>
  </si>
  <si>
    <t xml:space="preserve">Looking really good now, just needs to order more and keep fridge full</t>
  </si>
  <si>
    <t xml:space="preserve">MON-011</t>
  </si>
  <si>
    <t xml:space="preserve">Noodle Noodle</t>
  </si>
  <si>
    <t xml:space="preserve">Campus Centre, Opposite Subway</t>
  </si>
  <si>
    <t xml:space="preserve">Dificult Language barrier. Same owner as J•••'s - need to try and contact</t>
  </si>
  <si>
    <t xml:space="preserve">MON-012</t>
  </si>
  <si>
    <t xml:space="preserve">Sir John Bar</t>
  </si>
  <si>
    <t xml:space="preserve">Level 1, Campus Centre</t>
  </si>
  <si>
    <t xml:space="preserve">Run activations with them throughout the year through SM clubs and network. Maintain relationship as competitors have tried to get one up</t>
  </si>
  <si>
    <t xml:space="preserve">MON-013</t>
  </si>
  <si>
    <t xml:space="preserve">Sammy's</t>
  </si>
  <si>
    <t xml:space="preserve">42 scentific blvd, Clayton</t>
  </si>
  <si>
    <t xml:space="preserve">Sports Centre/ Monash Sport</t>
  </si>
  <si>
    <t xml:space="preserve">Hard to manage as the owner is difficult to manage</t>
  </si>
  <si>
    <t xml:space="preserve">MON-014</t>
  </si>
  <si>
    <t xml:space="preserve">Church of Secular Coffee</t>
  </si>
  <si>
    <t xml:space="preserve">32 Exhibition walk, Clayton</t>
  </si>
  <si>
    <t xml:space="preserve">32 Exhibition Walk</t>
  </si>
  <si>
    <t xml:space="preserve">Sample Cans, build relationship with owner. Staff love Red Bulls just need to get the owner</t>
  </si>
  <si>
    <t xml:space="preserve">MON-015</t>
  </si>
  <si>
    <t xml:space="preserve">Schnitz</t>
  </si>
  <si>
    <t xml:space="preserve">MON-016</t>
  </si>
  <si>
    <t xml:space="preserve">Guzmani Gomez</t>
  </si>
  <si>
    <t xml:space="preserve">MON-017</t>
  </si>
  <si>
    <t xml:space="preserve">Boost Juice</t>
  </si>
  <si>
    <t xml:space="preserve">MON-018</t>
  </si>
  <si>
    <t xml:space="preserve">Sushi Sushi</t>
  </si>
  <si>
    <t xml:space="preserve">Campus Centre, near GYG</t>
  </si>
  <si>
    <t xml:space="preserve">MON-019</t>
  </si>
  <si>
    <t xml:space="preserve">Papa Rich</t>
  </si>
  <si>
    <t xml:space="preserve">MON-020</t>
  </si>
  <si>
    <t xml:space="preserve">Subway</t>
  </si>
  <si>
    <t xml:space="preserve">Campus Centre, Inside</t>
  </si>
  <si>
    <t xml:space="preserve">MON-021</t>
  </si>
  <si>
    <t xml:space="preserve">Roll'd</t>
  </si>
  <si>
    <t xml:space="preserve">MON-022</t>
  </si>
  <si>
    <t xml:space="preserve">Meeting Point</t>
  </si>
  <si>
    <t xml:space="preserve">Try and get blackboard made up for them</t>
  </si>
  <si>
    <t xml:space="preserve">MON-023</t>
  </si>
  <si>
    <t xml:space="preserve">Noodle Plus</t>
  </si>
  <si>
    <t xml:space="preserve">Opposite Cafe Nesso in LTB</t>
  </si>
  <si>
    <t xml:space="preserve">Same owner as Neptunes. Says ED sells really well, says they order Editions but never seems to be stocked. Dropped them 12 Lime to see again how it goes to leverage them to order more from distributer</t>
  </si>
  <si>
    <t xml:space="preserve">MON-024</t>
  </si>
  <si>
    <t xml:space="preserve">Monash Pharmacy</t>
  </si>
  <si>
    <t xml:space="preserve">They mentioned they sell the occasional can, "having the cooler by the checkout means students might grab one" Currently no competition in store. Need POS</t>
  </si>
  <si>
    <t xml:space="preserve">MON-025</t>
  </si>
  <si>
    <t xml:space="preserve">Monash Mini Merchant</t>
  </si>
  <si>
    <t xml:space="preserve">Placed in stripping on 4 levels last week, we were winning in main placement last week but now Celcius holds middle two shelves</t>
  </si>
  <si>
    <t xml:space="preserve">MON-026</t>
  </si>
  <si>
    <t xml:space="preserve">Monash Merchant</t>
  </si>
  <si>
    <t xml:space="preserve">2/28 Sports walk, Clayton</t>
  </si>
  <si>
    <t xml:space="preserve">Popping in to keep relationship. Would be good to swap Lo Bro's Fridge for Red Bull, it is right next to double door Monster fridge. Currently 2 for 3.5$ V</t>
  </si>
  <si>
    <t xml:space="preserve">MON-027</t>
  </si>
  <si>
    <t xml:space="preserve">Cafelito</t>
  </si>
  <si>
    <t xml:space="preserve">20 Research Way, Clayton</t>
  </si>
  <si>
    <t xml:space="preserve">Neear N1 Car Park</t>
  </si>
  <si>
    <t xml:space="preserve">Candice Barista - Same owner as Cafe Nesso</t>
  </si>
  <si>
    <t xml:space="preserve">MON-028</t>
  </si>
  <si>
    <t xml:space="preserve">Grill'd</t>
  </si>
  <si>
    <t xml:space="preserve">Near Monash Merchant + Sport Centre</t>
  </si>
  <si>
    <t xml:space="preserve">MON-029</t>
  </si>
  <si>
    <t xml:space="preserve">Notting Hill Hotel (The Nott)</t>
  </si>
  <si>
    <t xml:space="preserve">260 Ferntree Gully Rd, Clayton</t>
  </si>
  <si>
    <t xml:space="preserve">262 Ferntree Gully Rd</t>
  </si>
  <si>
    <t xml:space="preserve">Audit, meet owner, run trial activation with SM's clubs</t>
  </si>
  <si>
    <t xml:space="preserve">MON-030</t>
  </si>
  <si>
    <t xml:space="preserve">Koji Sushi</t>
  </si>
  <si>
    <t xml:space="preserve">ground/Builkding K, 29 Sir John Monash Dr, Caulfield</t>
  </si>
  <si>
    <t xml:space="preserve">3145</t>
  </si>
  <si>
    <t xml:space="preserve">Building K</t>
  </si>
  <si>
    <t xml:space="preserve">Coming back to update POS on mini cooler</t>
  </si>
  <si>
    <t xml:space="preserve">MON-031</t>
  </si>
  <si>
    <t xml:space="preserve">Sammys</t>
  </si>
  <si>
    <t xml:space="preserve">Building C, Level 1, 900 dandenong Road, Caulfield</t>
  </si>
  <si>
    <t xml:space="preserve">Bulding C</t>
  </si>
  <si>
    <t xml:space="preserve">MON-032</t>
  </si>
  <si>
    <t xml:space="preserve">Flipside</t>
  </si>
  <si>
    <t xml:space="preserve">Library</t>
  </si>
  <si>
    <t xml:space="preserve">Just sold in to Flipside, hes keen to see how they go, opposed putting up POS, need to make it more visible. "I like the clean aesthetic"</t>
  </si>
  <si>
    <t xml:space="preserve">MON-033</t>
  </si>
  <si>
    <t xml:space="preserve">Flipside (2)</t>
  </si>
  <si>
    <t xml:space="preserve">Caulfield Library</t>
  </si>
  <si>
    <t xml:space="preserve">Currently trialing in Building K, waiting to see if that moves</t>
  </si>
  <si>
    <t xml:space="preserve">MON-034</t>
  </si>
  <si>
    <t xml:space="preserve">Kebab Den</t>
  </si>
  <si>
    <t xml:space="preserve">25 Waverly Road, Caulfield</t>
  </si>
  <si>
    <t xml:space="preserve">Look to do an A frame combo</t>
  </si>
  <si>
    <t xml:space="preserve">MON-035</t>
  </si>
  <si>
    <t xml:space="preserve">Red Engine Caulfield Station</t>
  </si>
  <si>
    <t xml:space="preserve">Caulfield Station</t>
  </si>
  <si>
    <t xml:space="preserve">Train Station</t>
  </si>
  <si>
    <t xml:space="preserve">look to see if can fit a baby or micro</t>
  </si>
  <si>
    <t xml:space="preserve">MON-036</t>
  </si>
  <si>
    <t xml:space="preserve">Caulfield Station Bakery</t>
  </si>
  <si>
    <t xml:space="preserve">1 Sir John Monash Dr, Caulfield</t>
  </si>
  <si>
    <t xml:space="preserve">Keep eye on for new owner</t>
  </si>
  <si>
    <t xml:space="preserve">RMIT-001</t>
  </si>
  <si>
    <t xml:space="preserve">Tuck Shop</t>
  </si>
  <si>
    <t xml:space="preserve">10 Bowen St, Melbourne VIC 3000, CBD</t>
  </si>
  <si>
    <t xml:space="preserve">3000</t>
  </si>
  <si>
    <t xml:space="preserve">Bowen Street</t>
  </si>
  <si>
    <t xml:space="preserve">closed and replaced with a pop up 'college dropout' until end of year but same management as tuck shop</t>
  </si>
  <si>
    <t xml:space="preserve">RMIT-002</t>
  </si>
  <si>
    <t xml:space="preserve">Kaki Lima</t>
  </si>
  <si>
    <t xml:space="preserve">Building 14 - Bowen St, Melbourne, CBD</t>
  </si>
  <si>
    <t xml:space="preserve">Building 10</t>
  </si>
  <si>
    <t xml:space="preserve">not selling anymore and don't use cooler will reach out to manager and pick up cooler</t>
  </si>
  <si>
    <t xml:space="preserve">RMIT-003</t>
  </si>
  <si>
    <t xml:space="preserve">Carte Crepes</t>
  </si>
  <si>
    <t xml:space="preserve">Building 10 - Bowen St,, CBD</t>
  </si>
  <si>
    <t xml:space="preserve">closed down</t>
  </si>
  <si>
    <t xml:space="preserve">RMIT-004</t>
  </si>
  <si>
    <t xml:space="preserve">Little Bang Espresso</t>
  </si>
  <si>
    <t xml:space="preserve">394/412 Swanston St, CBD</t>
  </si>
  <si>
    <t xml:space="preserve">Swanston Street Next to Tram Stop</t>
  </si>
  <si>
    <t xml:space="preserve">Don't sell energy</t>
  </si>
  <si>
    <t xml:space="preserve">RMIT-005</t>
  </si>
  <si>
    <t xml:space="preserve">Standing Room</t>
  </si>
  <si>
    <t xml:space="preserve">Building 10, CBD</t>
  </si>
  <si>
    <t xml:space="preserve">Building 10 near toilets and lift</t>
  </si>
  <si>
    <t xml:space="preserve">RMIT-006</t>
  </si>
  <si>
    <t xml:space="preserve">Streat Coffee</t>
  </si>
  <si>
    <t xml:space="preserve">Bowen St, CBD</t>
  </si>
  <si>
    <t xml:space="preserve">Bowen Street, Under garden building</t>
  </si>
  <si>
    <t xml:space="preserve">closed down and now replaced with A1</t>
  </si>
  <si>
    <t xml:space="preserve">RMIT-007</t>
  </si>
  <si>
    <t xml:space="preserve">The Vine (level 2)</t>
  </si>
  <si>
    <t xml:space="preserve">Building 80 Swanston Street, CBD</t>
  </si>
  <si>
    <t xml:space="preserve">Building 80</t>
  </si>
  <si>
    <t xml:space="preserve">toastie and red bull no longer</t>
  </si>
  <si>
    <t xml:space="preserve">RMIT-008</t>
  </si>
  <si>
    <t xml:space="preserve">The Bean Project</t>
  </si>
  <si>
    <t xml:space="preserve">sold in a cooler to replace the old one</t>
  </si>
  <si>
    <t xml:space="preserve">RMIT-009</t>
  </si>
  <si>
    <t xml:space="preserve">Vine (Level 7)</t>
  </si>
  <si>
    <t xml:space="preserve">Building 80 (Level 7)</t>
  </si>
  <si>
    <t xml:space="preserve">K••• prefers no POS to be put up</t>
  </si>
  <si>
    <t xml:space="preserve">RMIT-010</t>
  </si>
  <si>
    <t xml:space="preserve">Oxford Scholar</t>
  </si>
  <si>
    <t xml:space="preserve">427 Swanston Street, CBD</t>
  </si>
  <si>
    <t xml:space="preserve">Next to Building 80</t>
  </si>
  <si>
    <t xml:space="preserve">RMIT-011</t>
  </si>
  <si>
    <t xml:space="preserve">College Dropout</t>
  </si>
  <si>
    <t xml:space="preserve">Bowen street where tuck shop use to be</t>
  </si>
  <si>
    <t xml:space="preserve">replaced monster with flip side phytolin energy drink</t>
  </si>
  <si>
    <t xml:space="preserve">RMIT-012</t>
  </si>
  <si>
    <t xml:space="preserve">EJ's Cafe</t>
  </si>
  <si>
    <t xml:space="preserve">Building 57, Carlton</t>
  </si>
  <si>
    <t xml:space="preserve">Inside Engineering Building</t>
  </si>
  <si>
    <t xml:space="preserve">RMIT-013</t>
  </si>
  <si>
    <t xml:space="preserve">Pearson &amp; Murphy</t>
  </si>
  <si>
    <t xml:space="preserve">124 La Trobe St., CBD</t>
  </si>
  <si>
    <t xml:space="preserve">Outside Bowen Street</t>
  </si>
  <si>
    <t xml:space="preserve">RMIT-014</t>
  </si>
  <si>
    <t xml:space="preserve">Realfoods</t>
  </si>
  <si>
    <t xml:space="preserve">360/418 Swanston St., CBD</t>
  </si>
  <si>
    <t xml:space="preserve">RMIT-015</t>
  </si>
  <si>
    <t xml:space="preserve">Tokyo Yokocho</t>
  </si>
  <si>
    <t xml:space="preserve">Building 14 - Bowen St, Melbourne</t>
  </si>
  <si>
    <t xml:space="preserve">manager is in on mondays</t>
  </si>
  <si>
    <t xml:space="preserve">RMIT-016</t>
  </si>
  <si>
    <t xml:space="preserve">Mr Tulk</t>
  </si>
  <si>
    <t xml:space="preserve">328 Swanston St, CBD</t>
  </si>
  <si>
    <t xml:space="preserve">State Library</t>
  </si>
  <si>
    <t xml:space="preserve">RMIT-017</t>
  </si>
  <si>
    <t xml:space="preserve">Canto Cafe</t>
  </si>
  <si>
    <t xml:space="preserve">RMIT-018</t>
  </si>
  <si>
    <t xml:space="preserve">A1</t>
  </si>
  <si>
    <t xml:space="preserve">A1, CBD</t>
  </si>
  <si>
    <t xml:space="preserve">Garden building</t>
  </si>
  <si>
    <t xml:space="preserve">placed a planogram</t>
  </si>
  <si>
    <t xml:space="preserve">RMIT-019</t>
  </si>
  <si>
    <t xml:space="preserve">The Bowen St Café</t>
  </si>
  <si>
    <t xml:space="preserve">Building 10 - Bowen St, CBD</t>
  </si>
  <si>
    <t xml:space="preserve">Building 10 Bowen street</t>
  </si>
  <si>
    <t xml:space="preserve">just started selling Red Bull, J••• (manager) phone number [phone removed]. distributer use to be schweeps but they no longer sell red bull. J••• is looking for new distributor</t>
  </si>
  <si>
    <t xml:space="preserve">RMIT-020</t>
  </si>
  <si>
    <t xml:space="preserve">J &amp; G Fried Chicken</t>
  </si>
  <si>
    <t xml:space="preserve">Building 10 - swanston street, CBD</t>
  </si>
  <si>
    <t xml:space="preserve">They sold out of the last stock we gave for free and gave them a case of zero to trial. Manager was not in need to follow up</t>
  </si>
  <si>
    <t xml:space="preserve">RMIT-021</t>
  </si>
  <si>
    <t xml:space="preserve">Nimble Cafe (building 201)</t>
  </si>
  <si>
    <t xml:space="preserve">Building 201, Bundoora</t>
  </si>
  <si>
    <t xml:space="preserve">V &amp; Solo</t>
  </si>
  <si>
    <t xml:space="preserve">Follow-up with C••• is needed by Keane for distributor</t>
  </si>
  <si>
    <t xml:space="preserve">RMIT-022</t>
  </si>
  <si>
    <t xml:space="preserve">Nimble Cafe (building 202)</t>
  </si>
  <si>
    <t xml:space="preserve">Building 202, Bundoora</t>
  </si>
  <si>
    <t xml:space="preserve">Follow up needed with C••• for distributor</t>
  </si>
  <si>
    <t xml:space="preserve">RMIT-023</t>
  </si>
  <si>
    <t xml:space="preserve">Weave and Brew</t>
  </si>
  <si>
    <t xml:space="preserve">25 Dawson Street, Brunswick</t>
  </si>
  <si>
    <t xml:space="preserve">3056</t>
  </si>
  <si>
    <t xml:space="preserve">Gave them a case of Zero and Winter. updated POS to generic. No competitiors.</t>
  </si>
  <si>
    <t xml:space="preserve">RMIT-024</t>
  </si>
  <si>
    <t xml:space="preserve">Amie</t>
  </si>
  <si>
    <t xml:space="preserve">Bowen street in front of bowen st café</t>
  </si>
  <si>
    <t xml:space="preserve">new vietnamese food spot</t>
  </si>
  <si>
    <t xml:space="preserve">RMIT-VM-001</t>
  </si>
  <si>
    <t xml:space="preserve">Vending · Bldg 80 Level 3 Near escalator (10V770)</t>
  </si>
  <si>
    <t xml:space="preserve">Near escalator</t>
  </si>
  <si>
    <t xml:space="preserve">Bldg 80</t>
  </si>
  <si>
    <t xml:space="preserve">Level 3</t>
  </si>
  <si>
    <t xml:space="preserve">10V770</t>
  </si>
  <si>
    <t xml:space="preserve">RMIT-VM-002</t>
  </si>
  <si>
    <t xml:space="preserve">Vending · Bldg 80 Level 3 Next to Study Space (10V3770)</t>
  </si>
  <si>
    <t xml:space="preserve">Next to Study Space</t>
  </si>
  <si>
    <t xml:space="preserve">10V3770</t>
  </si>
  <si>
    <t xml:space="preserve">RMIT-VM-003</t>
  </si>
  <si>
    <t xml:space="preserve">Vending · Bldg 80 Level 4 Study Space (12V0185)</t>
  </si>
  <si>
    <t xml:space="preserve">Study Space</t>
  </si>
  <si>
    <t xml:space="preserve">Level 4</t>
  </si>
  <si>
    <t xml:space="preserve">12V0185</t>
  </si>
  <si>
    <t xml:space="preserve">RMIT-VM-004</t>
  </si>
  <si>
    <t xml:space="preserve">Vending · Bldg 80 Level 4 Study Space (RM80D04)</t>
  </si>
  <si>
    <t xml:space="preserve">RM80D04</t>
  </si>
  <si>
    <t xml:space="preserve">RMIT-VM-005</t>
  </si>
  <si>
    <t xml:space="preserve">Vending · Bldg 80 Level 4 By the Toilets (12V0185)</t>
  </si>
  <si>
    <t xml:space="preserve">By the Toilets</t>
  </si>
  <si>
    <t xml:space="preserve">RMIT-VM-006</t>
  </si>
  <si>
    <t xml:space="preserve">Vending · Bldg 80 Level 5 By escalator (10V4200)</t>
  </si>
  <si>
    <t xml:space="preserve">By escalator</t>
  </si>
  <si>
    <t xml:space="preserve">Level 5</t>
  </si>
  <si>
    <t xml:space="preserve">Coke vending</t>
  </si>
  <si>
    <t xml:space="preserve">10V4200</t>
  </si>
  <si>
    <t xml:space="preserve">RMIT-VM-007</t>
  </si>
  <si>
    <t xml:space="preserve">Vending · Bldg 80 Level 6 by the toilets (RM80D06)</t>
  </si>
  <si>
    <t xml:space="preserve">by the toilets</t>
  </si>
  <si>
    <t xml:space="preserve">Level 6</t>
  </si>
  <si>
    <t xml:space="preserve">RM80D06</t>
  </si>
  <si>
    <t xml:space="preserve">RMIT-VM-008</t>
  </si>
  <si>
    <t xml:space="preserve">Vending · Bldg 80 Level 6 By the Toilets (11V1811)</t>
  </si>
  <si>
    <t xml:space="preserve">11V1811</t>
  </si>
  <si>
    <t xml:space="preserve">RMIT-VM-009</t>
  </si>
  <si>
    <t xml:space="preserve">Vending · Bldg 80 Level 7 By the Toilets (12V0134)</t>
  </si>
  <si>
    <t xml:space="preserve">Level 7</t>
  </si>
  <si>
    <t xml:space="preserve">12V0134</t>
  </si>
  <si>
    <t xml:space="preserve">RMIT-VM-010</t>
  </si>
  <si>
    <t xml:space="preserve">Vending · Bldg 80 Level 8 By printer/bin (12V0334)</t>
  </si>
  <si>
    <t xml:space="preserve">By printer/bin</t>
  </si>
  <si>
    <t xml:space="preserve">Level 8</t>
  </si>
  <si>
    <t xml:space="preserve">12V0334</t>
  </si>
  <si>
    <t xml:space="preserve">RMIT-VM-011</t>
  </si>
  <si>
    <t xml:space="preserve">Vending · Bldg 80 Level 8 By printer (RM80D08)</t>
  </si>
  <si>
    <t xml:space="preserve">By printer</t>
  </si>
  <si>
    <t xml:space="preserve">RM80D08</t>
  </si>
  <si>
    <t xml:space="preserve">RMIT-VM-012</t>
  </si>
  <si>
    <t xml:space="preserve">Vending · Bldg 80 Level 9 By the Toilets (11V0709)</t>
  </si>
  <si>
    <t xml:space="preserve">Level 9</t>
  </si>
  <si>
    <t xml:space="preserve">11V0709</t>
  </si>
  <si>
    <t xml:space="preserve">RMIT-VM-013</t>
  </si>
  <si>
    <t xml:space="preserve">Vending · Bldg 80 Level 9 Next to Study Space (23V0139)</t>
  </si>
  <si>
    <t xml:space="preserve">23V0139</t>
  </si>
  <si>
    <t xml:space="preserve">RMIT-VM-014</t>
  </si>
  <si>
    <t xml:space="preserve">Vending · Bldg 80 Level 10 By printer/bin (RM80D10)</t>
  </si>
  <si>
    <t xml:space="preserve">Level 10</t>
  </si>
  <si>
    <t xml:space="preserve">RM80D10</t>
  </si>
  <si>
    <t xml:space="preserve">RMIT-VM-015</t>
  </si>
  <si>
    <t xml:space="preserve">Vending · Bldg 80 Level 11 By the Toilets (10V2876)</t>
  </si>
  <si>
    <t xml:space="preserve">Level 11</t>
  </si>
  <si>
    <t xml:space="preserve">10V2876</t>
  </si>
  <si>
    <t xml:space="preserve">RMIT-VM-016</t>
  </si>
  <si>
    <t xml:space="preserve">Vending · Bldg 80 Level 11 Next to printer/bins (10V2876)</t>
  </si>
  <si>
    <t xml:space="preserve">Next to printer/bins</t>
  </si>
  <si>
    <t xml:space="preserve">RMIT-VM-017</t>
  </si>
  <si>
    <t xml:space="preserve">Vending · Bldg 56 Level 4 Next to EJ's cafe (RM56D04)</t>
  </si>
  <si>
    <t xml:space="preserve">Next to EJ's cafe</t>
  </si>
  <si>
    <t xml:space="preserve">Bldg 56</t>
  </si>
  <si>
    <t xml:space="preserve">RM56D04</t>
  </si>
  <si>
    <t xml:space="preserve">RMIT-VM-018</t>
  </si>
  <si>
    <t xml:space="preserve">Vending · Bldg 56 Level 4 Next to EJ's cafe (10V0346)</t>
  </si>
  <si>
    <t xml:space="preserve">10V0346</t>
  </si>
  <si>
    <t xml:space="preserve">RMIT-VM-019</t>
  </si>
  <si>
    <t xml:space="preserve">Vending · Bldg 10 Level 3 Near Ping Pong Table</t>
  </si>
  <si>
    <t xml:space="preserve">Near Ping Pong Table</t>
  </si>
  <si>
    <t xml:space="preserve">Bldg 10</t>
  </si>
  <si>
    <t xml:space="preserve">RMIT-VM-020</t>
  </si>
  <si>
    <t xml:space="preserve">Vending · Bldg 10 Level 4 Near Esports Room (RM10D04)</t>
  </si>
  <si>
    <t xml:space="preserve">Near Esports Room</t>
  </si>
  <si>
    <t xml:space="preserve">RM10D04</t>
  </si>
  <si>
    <t xml:space="preserve">RMIT-VM-021</t>
  </si>
  <si>
    <t xml:space="preserve">Vending · Bldg 10 Level 4 Next to Livestream Studio (RM08D04)</t>
  </si>
  <si>
    <t xml:space="preserve">Next to Livestream Studio</t>
  </si>
  <si>
    <t xml:space="preserve">RM08D04</t>
  </si>
  <si>
    <t xml:space="preserve">RMIT-VM-022</t>
  </si>
  <si>
    <t xml:space="preserve">Vending · Bldg 10 Level 5 Near Meeting Rooms (RMLBD05)</t>
  </si>
  <si>
    <t xml:space="preserve">Near Meeting Rooms</t>
  </si>
  <si>
    <t xml:space="preserve">RMLBD05</t>
  </si>
  <si>
    <t xml:space="preserve">SWI-001</t>
  </si>
  <si>
    <t xml:space="preserve">TD's</t>
  </si>
  <si>
    <t xml:space="preserve">56 Park St, Hawthorn</t>
  </si>
  <si>
    <t xml:space="preserve">3122</t>
  </si>
  <si>
    <t xml:space="preserve">inside TD building</t>
  </si>
  <si>
    <t xml:space="preserve">A••• not there. Noted solo energy was once again in cooler.</t>
  </si>
  <si>
    <t xml:space="preserve">SWI-002</t>
  </si>
  <si>
    <t xml:space="preserve">Atrium Cafe</t>
  </si>
  <si>
    <t xml:space="preserve">27 John street, Hawthorn</t>
  </si>
  <si>
    <t xml:space="preserve">next to student HQ/ across from BA building</t>
  </si>
  <si>
    <t xml:space="preserve">Possibility of fridge (8/9).</t>
  </si>
  <si>
    <t xml:space="preserve">SWI-003</t>
  </si>
  <si>
    <t xml:space="preserve">Cafe Gomez</t>
  </si>
  <si>
    <t xml:space="preserve">24 Wakefield St, Hawthorn</t>
  </si>
  <si>
    <t xml:space="preserve">Underneath student res</t>
  </si>
  <si>
    <t xml:space="preserve">Everything all good.</t>
  </si>
  <si>
    <t xml:space="preserve">SWI-004</t>
  </si>
  <si>
    <t xml:space="preserve">Machaan's Café</t>
  </si>
  <si>
    <t xml:space="preserve">427 Burwood Rd, Hawthorn</t>
  </si>
  <si>
    <t xml:space="preserve">Next to Arts building (AR)</t>
  </si>
  <si>
    <t xml:space="preserve">SWI-005</t>
  </si>
  <si>
    <t xml:space="preserve">B&amp;Bean Café</t>
  </si>
  <si>
    <t xml:space="preserve">3/24 Wakefield St, Hawthorn</t>
  </si>
  <si>
    <t xml:space="preserve">Next to Swinburne Shop</t>
  </si>
  <si>
    <t xml:space="preserve">S••• said main fridge is hers and would considered branded fridge (8/9). Find out Monster pricing and aim to get more SKUs in main fridge.</t>
  </si>
  <si>
    <t xml:space="preserve">SWI-006</t>
  </si>
  <si>
    <t xml:space="preserve">Late Lab Cafe</t>
  </si>
  <si>
    <t xml:space="preserve">Burwood Rd (inside Late Lab), Hawthorn</t>
  </si>
  <si>
    <t xml:space="preserve">Inside Late Lab - level 1 to the left</t>
  </si>
  <si>
    <t xml:space="preserve">Sus competitors .</t>
  </si>
  <si>
    <t xml:space="preserve">SWI-VM-001</t>
  </si>
  <si>
    <t xml:space="preserve">Vending · Junction GF near the 'charging station' (Swin Station)</t>
  </si>
  <si>
    <t xml:space="preserve">near the 'charging station'</t>
  </si>
  <si>
    <t xml:space="preserve">Junction</t>
  </si>
  <si>
    <t xml:space="preserve">GF</t>
  </si>
  <si>
    <t xml:space="preserve">Swin Station</t>
  </si>
  <si>
    <t xml:space="preserve">SWI-VM-002</t>
  </si>
  <si>
    <t xml:space="preserve">Vending · TD L2 across walkway near lift (tech 1)</t>
  </si>
  <si>
    <t xml:space="preserve">across walkway near lift</t>
  </si>
  <si>
    <t xml:space="preserve">TD</t>
  </si>
  <si>
    <t xml:space="preserve">eat &amp; drink healthy</t>
  </si>
  <si>
    <t xml:space="preserve">tech 1</t>
  </si>
  <si>
    <t xml:space="preserve">SWI-VM-003</t>
  </si>
  <si>
    <t xml:space="preserve">Vending · TD L2 across walkway near lift (tech drink)</t>
  </si>
  <si>
    <t xml:space="preserve">tech drink</t>
  </si>
  <si>
    <t xml:space="preserve">SWI-VM-004</t>
  </si>
  <si>
    <t xml:space="preserve">Vending · TD L2 across walkway near lift (SWTD01)</t>
  </si>
  <si>
    <t xml:space="preserve">altavend</t>
  </si>
  <si>
    <t xml:space="preserve">SWTD01</t>
  </si>
  <si>
    <t xml:space="preserve">SWI-VM-005</t>
  </si>
  <si>
    <t xml:space="preserve">Vending · TB L2 near entrance to building A</t>
  </si>
  <si>
    <t xml:space="preserve">near entrance to building A</t>
  </si>
  <si>
    <t xml:space="preserve">TB</t>
  </si>
  <si>
    <t xml:space="preserve">SWI-VM-006</t>
  </si>
  <si>
    <t xml:space="preserve">Vending · BA L2 next to swin abroad (SWBAD01)</t>
  </si>
  <si>
    <t xml:space="preserve">next to swin abroad</t>
  </si>
  <si>
    <t xml:space="preserve">BA</t>
  </si>
  <si>
    <t xml:space="preserve">SWBAD01</t>
  </si>
  <si>
    <t xml:space="preserve">SWI-VM-007</t>
  </si>
  <si>
    <t xml:space="preserve">Vending · BA L2 next to swin abroad</t>
  </si>
  <si>
    <t xml:space="preserve">SWI-VM-008</t>
  </si>
  <si>
    <t xml:space="preserve">Vending · BA L2 near pay phone</t>
  </si>
  <si>
    <t xml:space="preserve">near pay phone</t>
  </si>
  <si>
    <t xml:space="preserve">SWI-VM-009</t>
  </si>
  <si>
    <t xml:space="preserve">Vending · BA L3 escalators</t>
  </si>
  <si>
    <t xml:space="preserve">escalators</t>
  </si>
  <si>
    <t xml:space="preserve">SWI-VM-010</t>
  </si>
  <si>
    <t xml:space="preserve">Vending · BA L4 escalators</t>
  </si>
  <si>
    <t xml:space="preserve">SWI-VM-011</t>
  </si>
  <si>
    <t xml:space="preserve">Vending · BA L6 escalators</t>
  </si>
  <si>
    <t xml:space="preserve">SWI-VM-012</t>
  </si>
  <si>
    <t xml:space="preserve">Vending · LateLab L1 By the toilets</t>
  </si>
  <si>
    <t xml:space="preserve">By the toilets</t>
  </si>
  <si>
    <t xml:space="preserve">LateLab</t>
  </si>
  <si>
    <t xml:space="preserve">SWI-VM-013</t>
  </si>
  <si>
    <t xml:space="preserve">Vending · LateLab L1 By the toilets (2)</t>
  </si>
  <si>
    <t xml:space="preserve">SWI-VM-014</t>
  </si>
  <si>
    <t xml:space="preserve">Vending · ATC L1 near the lifts</t>
  </si>
  <si>
    <t xml:space="preserve">near the lifts</t>
  </si>
  <si>
    <t xml:space="preserve">ATC</t>
  </si>
  <si>
    <t xml:space="preserve">SWI-VM-015</t>
  </si>
  <si>
    <t xml:space="preserve">Vending · EN L1 next to escaltors (SWEND01)</t>
  </si>
  <si>
    <t xml:space="preserve">next to escaltors</t>
  </si>
  <si>
    <t xml:space="preserve">EN</t>
  </si>
  <si>
    <t xml:space="preserve">SWEND01</t>
  </si>
  <si>
    <t xml:space="preserve">SWI-VM-016</t>
  </si>
  <si>
    <t xml:space="preserve">Vending · EN L1 next to escaltors</t>
  </si>
  <si>
    <t xml:space="preserve">SWI-VM-017</t>
  </si>
  <si>
    <t xml:space="preserve">Vending · EN L1 next to escaltors (2)</t>
  </si>
  <si>
    <t xml:space="preserve">pepsi max</t>
  </si>
  <si>
    <t xml:space="preserve">UOM-001</t>
  </si>
  <si>
    <t xml:space="preserve">Moonfish</t>
  </si>
  <si>
    <t xml:space="preserve">761 Swanston St, Parkville</t>
  </si>
  <si>
    <t xml:space="preserve">3052</t>
  </si>
  <si>
    <t xml:space="preserve">UOM-002</t>
  </si>
  <si>
    <t xml:space="preserve">Franchise</t>
  </si>
  <si>
    <t xml:space="preserve">UOM-003</t>
  </si>
  <si>
    <t xml:space="preserve">Studio 22</t>
  </si>
  <si>
    <t xml:space="preserve">Monash Rd, Parkville</t>
  </si>
  <si>
    <t xml:space="preserve">Student union building</t>
  </si>
  <si>
    <t xml:space="preserve">New POS looks really premium, dropped from 5.5 to 4.5 selling better but same group of people</t>
  </si>
  <si>
    <t xml:space="preserve">UOM-004</t>
  </si>
  <si>
    <t xml:space="preserve">Mazaya Cafe</t>
  </si>
  <si>
    <t xml:space="preserve">Student Pav</t>
  </si>
  <si>
    <t xml:space="preserve">NEW can glorifier, new POS sticker, stocked zero. No other competitors</t>
  </si>
  <si>
    <t xml:space="preserve">UOM-005</t>
  </si>
  <si>
    <t xml:space="preserve">Passegiata Pizza</t>
  </si>
  <si>
    <t xml:space="preserve">don't bother with E••• anymore, need to bump into N•••</t>
  </si>
  <si>
    <t xml:space="preserve">UOM-006</t>
  </si>
  <si>
    <t xml:space="preserve">Ho ho's Canteen</t>
  </si>
  <si>
    <t xml:space="preserve">13 Royal Parade, Parkville</t>
  </si>
  <si>
    <t xml:space="preserve">Replaced POS to look more premium. Trialling lime because lilac is going well. But from distributor. Not giving ED because we want them to order</t>
  </si>
  <si>
    <t xml:space="preserve">UOM-007</t>
  </si>
  <si>
    <t xml:space="preserve">Castro's Kiosk</t>
  </si>
  <si>
    <t xml:space="preserve">Tin Alley, Parkville</t>
  </si>
  <si>
    <t xml:space="preserve">David Caro Bldg</t>
  </si>
  <si>
    <t xml:space="preserve">Introduced ourselves (Keane, Andy, Amanda) currently not sellling any redbull as they think it will clash with coffee sales. Planning to do a 2 for 1 sale or free stock drop near exams.</t>
  </si>
  <si>
    <t xml:space="preserve">UOM-008</t>
  </si>
  <si>
    <t xml:space="preserve">The Potter Espresso Bar</t>
  </si>
  <si>
    <t xml:space="preserve">Swanston St, Carlton</t>
  </si>
  <si>
    <t xml:space="preserve">3053</t>
  </si>
  <si>
    <t xml:space="preserve">Ian Potter Museum</t>
  </si>
  <si>
    <t xml:space="preserve">Not interested, people don’t buy. They sell very little drinks in their fridge.</t>
  </si>
  <si>
    <t xml:space="preserve">UOM-009</t>
  </si>
  <si>
    <t xml:space="preserve">Cafe Commercio</t>
  </si>
  <si>
    <t xml:space="preserve">198 Berkeley St, Carlton</t>
  </si>
  <si>
    <t xml:space="preserve">3153</t>
  </si>
  <si>
    <t xml:space="preserve">The Spot</t>
  </si>
  <si>
    <t xml:space="preserve">Want to try editions, bring next time</t>
  </si>
  <si>
    <t xml:space="preserve">UOM-010</t>
  </si>
  <si>
    <t xml:space="preserve">Dr Dax Cafe</t>
  </si>
  <si>
    <t xml:space="preserve">30 Royal Parade, Parkville</t>
  </si>
  <si>
    <t xml:space="preserve">3010</t>
  </si>
  <si>
    <t xml:space="preserve">Kenneth Myer Bldg</t>
  </si>
  <si>
    <t xml:space="preserve">Lost facings, V and Solo Energy</t>
  </si>
  <si>
    <t xml:space="preserve">UOM-011</t>
  </si>
  <si>
    <t xml:space="preserve">Carte's Crepes</t>
  </si>
  <si>
    <t xml:space="preserve">Grattan St, Parkville</t>
  </si>
  <si>
    <t xml:space="preserve">John Medley Bldg</t>
  </si>
  <si>
    <t xml:space="preserve">Zero selling best, lilac and winter not selling. Start of October talk about deal</t>
  </si>
  <si>
    <t xml:space="preserve">UOM-012</t>
  </si>
  <si>
    <t xml:space="preserve">Haymarket</t>
  </si>
  <si>
    <t xml:space="preserve">212 Berkeley St, Carlton</t>
  </si>
  <si>
    <t xml:space="preserve">Updated POS, bring editions next time</t>
  </si>
  <si>
    <t xml:space="preserve">UOM-013</t>
  </si>
  <si>
    <t xml:space="preserve">Books n Bites</t>
  </si>
  <si>
    <t xml:space="preserve">224 Pelham St, Melbourne</t>
  </si>
  <si>
    <t xml:space="preserve">Replaced Cooler, bring fridge topper</t>
  </si>
  <si>
    <t xml:space="preserve">UOM-014</t>
  </si>
  <si>
    <t xml:space="preserve">Prince Alfred</t>
  </si>
  <si>
    <t xml:space="preserve">191 Grattan St, Carlton</t>
  </si>
  <si>
    <t xml:space="preserve">Introduced Amanda - very happy to collaborate</t>
  </si>
  <si>
    <t xml:space="preserve">UOM-015</t>
  </si>
  <si>
    <t xml:space="preserve">Engineering Lane, Parkville</t>
  </si>
  <si>
    <t xml:space="preserve">Specialty Coffee</t>
  </si>
  <si>
    <t xml:space="preserve">UOM-016</t>
  </si>
  <si>
    <t xml:space="preserve">Profesors Walk</t>
  </si>
  <si>
    <t xml:space="preserve">Baillieu Library, Parkville</t>
  </si>
  <si>
    <t xml:space="preserve">Building 177</t>
  </si>
  <si>
    <t xml:space="preserve">UOM-017</t>
  </si>
  <si>
    <t xml:space="preserve">Scholar and Co</t>
  </si>
  <si>
    <t xml:space="preserve">757 Swanston St, Parkville</t>
  </si>
  <si>
    <t xml:space="preserve">Fridge still there, they sell very little.</t>
  </si>
  <si>
    <t xml:space="preserve">UOM-018</t>
  </si>
  <si>
    <t xml:space="preserve">St Ali Coffee</t>
  </si>
  <si>
    <t xml:space="preserve">Arts &amp; Cultural Bldg</t>
  </si>
  <si>
    <t xml:space="preserve">UOM-019</t>
  </si>
  <si>
    <t xml:space="preserve">Swanston St, Parkville</t>
  </si>
  <si>
    <t xml:space="preserve">Bulding 133</t>
  </si>
  <si>
    <t xml:space="preserve">UOM-020</t>
  </si>
  <si>
    <t xml:space="preserve">The Last Jar</t>
  </si>
  <si>
    <t xml:space="preserve">616 Elizabeth St, Melbourne</t>
  </si>
  <si>
    <t xml:space="preserve">Nicole</t>
  </si>
  <si>
    <t xml:space="preserve">UOM-021</t>
  </si>
  <si>
    <t xml:space="preserve">The Queensberry</t>
  </si>
  <si>
    <t xml:space="preserve">593 Swanston St, Carlton</t>
  </si>
  <si>
    <t xml:space="preserve">Want to colloborate with student events</t>
  </si>
  <si>
    <t xml:space="preserve">UOM-022</t>
  </si>
  <si>
    <t xml:space="preserve">7 Seeds Coffee</t>
  </si>
  <si>
    <t xml:space="preserve">114 Berkeley St, Carlton</t>
  </si>
  <si>
    <t xml:space="preserve">UOM-023</t>
  </si>
  <si>
    <t xml:space="preserve">Axil Coffee</t>
  </si>
  <si>
    <t xml:space="preserve">Western Edge Biosciences Building</t>
  </si>
  <si>
    <t xml:space="preserve">UOM-024</t>
  </si>
  <si>
    <t xml:space="preserve">Two Dot Social</t>
  </si>
  <si>
    <t xml:space="preserve">157 Pelham St, Carlton</t>
  </si>
  <si>
    <t xml:space="preserve">Owners like selling RedBull. Happy to take POS, maybe a fridge?</t>
  </si>
  <si>
    <t xml:space="preserve">UOM-025</t>
  </si>
  <si>
    <t xml:space="preserve">Amicus</t>
  </si>
  <si>
    <t xml:space="preserve">185 Pelham St, Carlton</t>
  </si>
  <si>
    <t xml:space="preserve">UOM-026</t>
  </si>
  <si>
    <t xml:space="preserve">Shuji Sushi</t>
  </si>
  <si>
    <t xml:space="preserve">Building 168</t>
  </si>
  <si>
    <t xml:space="preserve">UOM-027</t>
  </si>
  <si>
    <t xml:space="preserve">PappaRich Malaysian Cuisine</t>
  </si>
  <si>
    <t xml:space="preserve">UOM-028</t>
  </si>
  <si>
    <t xml:space="preserve">MOFO Burgers/ Stove top</t>
  </si>
  <si>
    <t xml:space="preserve">100 Leicester St, Carlton</t>
  </si>
  <si>
    <t xml:space="preserve">ED selling best, they will order editions, after they do, bring some for love</t>
  </si>
  <si>
    <t xml:space="preserve">UOM-029</t>
  </si>
  <si>
    <t xml:space="preserve">Cafe Scopa</t>
  </si>
  <si>
    <t xml:space="preserve">127 Leicester St, Carlton</t>
  </si>
  <si>
    <t xml:space="preserve">Generic POS</t>
  </si>
  <si>
    <t xml:space="preserve">UOM-030</t>
  </si>
  <si>
    <t xml:space="preserve">Ootoya Bento</t>
  </si>
  <si>
    <t xml:space="preserve">165 Pelham St, Carlton</t>
  </si>
  <si>
    <t xml:space="preserve">Owners werent in</t>
  </si>
  <si>
    <t xml:space="preserve">UOM-031</t>
  </si>
  <si>
    <t xml:space="preserve">Ida Bar</t>
  </si>
  <si>
    <t xml:space="preserve">Building 168, Parkville</t>
  </si>
  <si>
    <t xml:space="preserve">CEO dislikes energy</t>
  </si>
  <si>
    <t xml:space="preserve">UOM-032</t>
  </si>
  <si>
    <t xml:space="preserve">Lincoln Park Bakery</t>
  </si>
  <si>
    <t xml:space="preserve">154 Bouverie St, Carlton</t>
  </si>
  <si>
    <t xml:space="preserve">New Coke fridge</t>
  </si>
  <si>
    <t xml:space="preserve">UOM-033</t>
  </si>
  <si>
    <t xml:space="preserve">Campus General Store</t>
  </si>
  <si>
    <t xml:space="preserve">New a4 strut and sticker on fridge</t>
  </si>
  <si>
    <t xml:space="preserve">UOM-034</t>
  </si>
  <si>
    <t xml:space="preserve">Spot Mart</t>
  </si>
  <si>
    <t xml:space="preserve">Carlton</t>
  </si>
  <si>
    <t xml:space="preserve">Flynn</t>
  </si>
  <si>
    <t xml:space="preserve">Missing fridge</t>
  </si>
  <si>
    <t xml:space="preserve">UOM-035</t>
  </si>
  <si>
    <t xml:space="preserve">Dragon Hot Pot</t>
  </si>
  <si>
    <t xml:space="preserve">No longer selling, all cans have been moved to momo</t>
  </si>
  <si>
    <t xml:space="preserve">UOM-036</t>
  </si>
  <si>
    <t xml:space="preserve">Momo Sushi or suji sushi?</t>
  </si>
  <si>
    <t xml:space="preserve">159 Pelham St, Carlton</t>
  </si>
  <si>
    <t xml:space="preserve">Provided editions and sticker, 7 facings</t>
  </si>
  <si>
    <t xml:space="preserve">UOM-037</t>
  </si>
  <si>
    <t xml:space="preserve">Spiced Beans</t>
  </si>
  <si>
    <t xml:space="preserve">250 Princess Highway, Werribee</t>
  </si>
  <si>
    <t xml:space="preserve">3030</t>
  </si>
  <si>
    <t xml:space="preserve">Unsure</t>
  </si>
  <si>
    <t xml:space="preserve">Havent met owner - Sell plenty</t>
  </si>
  <si>
    <t xml:space="preserve">UOM-038</t>
  </si>
  <si>
    <t xml:space="preserve">Student Run Canteen</t>
  </si>
  <si>
    <t xml:space="preserve">Considering placing fridge to ensure cans are cold - Great visibility</t>
  </si>
  <si>
    <t xml:space="preserve">UOM-039</t>
  </si>
  <si>
    <t xml:space="preserve">Passeggiata</t>
  </si>
  <si>
    <t xml:space="preserve">**Two owners said they were "leaving as soon as possible." Great opportunity to get in early for the next owners, esp in prime area.</t>
  </si>
  <si>
    <t xml:space="preserve">UOM-040</t>
  </si>
  <si>
    <t xml:space="preserve">Dental hospital café</t>
  </si>
  <si>
    <t xml:space="preserve">Put up POS sticker, and a4 strut. Stocked mini fridge w zero.</t>
  </si>
  <si>
    <t xml:space="preserve">UOM-VM-001</t>
  </si>
  <si>
    <t xml:space="preserve">Vending · Bldg 171 LB ERC below ground by the toilets (MUERCD01)</t>
  </si>
  <si>
    <t xml:space="preserve">ERC below ground by the toilets</t>
  </si>
  <si>
    <t xml:space="preserve">MUERCD01</t>
  </si>
  <si>
    <t xml:space="preserve">UOM-VM-002</t>
  </si>
  <si>
    <t xml:space="preserve">Vending · Bldg 171 L3 ERC level 3 next to staircase (134)</t>
  </si>
  <si>
    <t xml:space="preserve">ERC level 3 next to staircase</t>
  </si>
  <si>
    <t xml:space="preserve">134</t>
  </si>
  <si>
    <t xml:space="preserve">UOM-VM-003</t>
  </si>
  <si>
    <t xml:space="preserve">Vending · Bldg 171 L3 ERC Level 3 next to C302 (15)</t>
  </si>
  <si>
    <t xml:space="preserve">ERC Level 3 next to C302</t>
  </si>
  <si>
    <t xml:space="preserve">15</t>
  </si>
  <si>
    <t xml:space="preserve">UOM-VM-004</t>
  </si>
  <si>
    <t xml:space="preserve">Vending · Bldg 171 L2 ERC Level 2 by staircase (MVC-0022)</t>
  </si>
  <si>
    <t xml:space="preserve">ERC Level 2 by staircase</t>
  </si>
  <si>
    <t xml:space="preserve">MVC-0022</t>
  </si>
  <si>
    <t xml:space="preserve">UOM-VM-005</t>
  </si>
  <si>
    <t xml:space="preserve">Vending · Bldg 171 L2 ERC Level 2 by staircase (6)</t>
  </si>
  <si>
    <t xml:space="preserve">6</t>
  </si>
  <si>
    <t xml:space="preserve">UOM-VM-006</t>
  </si>
  <si>
    <t xml:space="preserve">Vending · Bldg 171 L1 ERC level 1 by the staircase (MUERCD02)</t>
  </si>
  <si>
    <t xml:space="preserve">ERC level 1 by the staircase</t>
  </si>
  <si>
    <t xml:space="preserve">MUERCD02</t>
  </si>
  <si>
    <t xml:space="preserve">UOM-VM-007</t>
  </si>
  <si>
    <t xml:space="preserve">Vending · Bldg 171 L1 ERC level 1 next to room 121 (5)</t>
  </si>
  <si>
    <t xml:space="preserve">ERC level 1 next to room 121</t>
  </si>
  <si>
    <t xml:space="preserve">5</t>
  </si>
  <si>
    <t xml:space="preserve">UOM-VM-008</t>
  </si>
  <si>
    <t xml:space="preserve">Vending · Bldg 158 LG Sidney Myer Asia Centre Ground floor Swanston Street entrance (235)</t>
  </si>
  <si>
    <t xml:space="preserve">Sidney Myer Asia Centre Ground floor Swanston Street entrance</t>
  </si>
  <si>
    <t xml:space="preserve">G</t>
  </si>
  <si>
    <t xml:space="preserve">235</t>
  </si>
  <si>
    <t xml:space="preserve">UOM-VM-009</t>
  </si>
  <si>
    <t xml:space="preserve">Vending · Bldg 158 LG Sidney Myer Asia Centre Ground floor Swanston Street entrance (MUSYMD01)</t>
  </si>
  <si>
    <t xml:space="preserve">MUSYMD01</t>
  </si>
  <si>
    <t xml:space="preserve">UOM-VM-010</t>
  </si>
  <si>
    <t xml:space="preserve">Vending · Bldg 168 L3 Building 168 Level 3 next to room 321 (MU168D03)</t>
  </si>
  <si>
    <t xml:space="preserve">Building 168 Level 3 next to room 321</t>
  </si>
  <si>
    <t xml:space="preserve">MU168D03</t>
  </si>
  <si>
    <t xml:space="preserve">UOM-VM-011</t>
  </si>
  <si>
    <t xml:space="preserve">Vending · Bldg 168 L3 Building 168 level 3 next to room 307 (35)</t>
  </si>
  <si>
    <t xml:space="preserve">Building 168 level 3 next to room 307</t>
  </si>
  <si>
    <t xml:space="preserve">35</t>
  </si>
  <si>
    <t xml:space="preserve">UOM-VM-012</t>
  </si>
  <si>
    <t xml:space="preserve">Vending · Bldg 168 L2 Building 168 level 2 next to room 221Vendy (34)</t>
  </si>
  <si>
    <t xml:space="preserve">Building 168 level 2 next to room 221Vendy</t>
  </si>
  <si>
    <t xml:space="preserve">34</t>
  </si>
  <si>
    <t xml:space="preserve">UOM-VM-013</t>
  </si>
  <si>
    <t xml:space="preserve">Vending · Bldg 168 L1 Building 168 level 1 dining area (30)</t>
  </si>
  <si>
    <t xml:space="preserve">Building 168 level 1 dining area</t>
  </si>
  <si>
    <t xml:space="preserve">30</t>
  </si>
  <si>
    <t xml:space="preserve">UOM-VM-014</t>
  </si>
  <si>
    <t xml:space="preserve">Vending · Bldg 168 L1 Building 168 level 1 dining area (MU168D01)</t>
  </si>
  <si>
    <t xml:space="preserve">MU168D01</t>
  </si>
  <si>
    <t xml:space="preserve">UOM-VM-015</t>
  </si>
  <si>
    <t xml:space="preserve">Vending · Bldg 168 LG Building 168 ground floor hallway (18)</t>
  </si>
  <si>
    <t xml:space="preserve">Building 168 ground floor hallway</t>
  </si>
  <si>
    <t xml:space="preserve">18</t>
  </si>
  <si>
    <t xml:space="preserve">UOM-VM-016</t>
  </si>
  <si>
    <t xml:space="preserve">Vending · Bldg 168 LG Building 168 ground floor hallway (MU168D0G)</t>
  </si>
  <si>
    <t xml:space="preserve">MU168D0G</t>
  </si>
  <si>
    <t xml:space="preserve">UOM-VM-017</t>
  </si>
  <si>
    <t xml:space="preserve">Vending · Bldg 159 LG Arts &amp; Cultural Building ground floor (264)</t>
  </si>
  <si>
    <t xml:space="preserve">Arts &amp; Cultural Building ground floor</t>
  </si>
  <si>
    <t xml:space="preserve">264</t>
  </si>
  <si>
    <t xml:space="preserve">UOM-VM-018</t>
  </si>
  <si>
    <t xml:space="preserve">Vending · Bldg 159 LG Arts &amp; Cultural Building ground floor (MUARTD01)</t>
  </si>
  <si>
    <t xml:space="preserve">MUARTD01</t>
  </si>
  <si>
    <t xml:space="preserve">UOM-VM-019</t>
  </si>
  <si>
    <t xml:space="preserve">Vending · Bldg 159 LG Arts &amp; Cultural Building ground floor</t>
  </si>
  <si>
    <t xml:space="preserve">UOM-VM-020</t>
  </si>
  <si>
    <t xml:space="preserve">Vending · Bldg 159 LG Arts &amp; Cultural Building ground floor (2)</t>
  </si>
  <si>
    <t xml:space="preserve">UOM-VM-021</t>
  </si>
  <si>
    <t xml:space="preserve">Vending · Bldg 160 LG Peter Hall Building ground floor opposite G54 (82)</t>
  </si>
  <si>
    <t xml:space="preserve">Peter Hall Building ground floor opposite G54</t>
  </si>
  <si>
    <t xml:space="preserve">82</t>
  </si>
  <si>
    <t xml:space="preserve">UOM-VM-022</t>
  </si>
  <si>
    <t xml:space="preserve">Vending · Bldg 133 LB Glyn Davis building below ground B120 (MUGLYD01)</t>
  </si>
  <si>
    <t xml:space="preserve">Glyn Davis building below ground B120</t>
  </si>
  <si>
    <t xml:space="preserve">MUGLYD01</t>
  </si>
  <si>
    <t xml:space="preserve">UOM-VM-023</t>
  </si>
  <si>
    <t xml:space="preserve">Vending · Bldg 200 L1 McCoy Building Level 1 opposite room 204 (234)</t>
  </si>
  <si>
    <t xml:space="preserve">McCoy Building Level 1 opposite room 204</t>
  </si>
  <si>
    <t xml:space="preserve">234</t>
  </si>
  <si>
    <t xml:space="preserve">UOM-VM-024</t>
  </si>
  <si>
    <t xml:space="preserve">Vending · Bldg 200 L1 McCoy Building Level 1 opposite room 204 (MUCOYC01)</t>
  </si>
  <si>
    <t xml:space="preserve">MUCOYC01</t>
  </si>
  <si>
    <t xml:space="preserve">UOM-VM-025</t>
  </si>
  <si>
    <t xml:space="preserve">Vending · Bldg 192 L1 David Caro Building opposite room 202 (206)</t>
  </si>
  <si>
    <t xml:space="preserve">David Caro Building opposite room 202</t>
  </si>
  <si>
    <t xml:space="preserve">206</t>
  </si>
  <si>
    <t xml:space="preserve">UOM-VM-026</t>
  </si>
  <si>
    <t xml:space="preserve">Vending · Bldg 263 L4 Kwong Lee Dow - Level 4 (216)</t>
  </si>
  <si>
    <t xml:space="preserve">Kwong Lee Dow - Level 4</t>
  </si>
  <si>
    <t xml:space="preserve">216</t>
  </si>
  <si>
    <t xml:space="preserve">UOM-VM-027</t>
  </si>
  <si>
    <t xml:space="preserve">Vending · Bldg 110 The Spot - Student Lounge (29)</t>
  </si>
  <si>
    <t xml:space="preserve">The Spot - Student Lounge</t>
  </si>
  <si>
    <t xml:space="preserve">29</t>
  </si>
  <si>
    <t xml:space="preserve">UOM-VM-028</t>
  </si>
  <si>
    <t xml:space="preserve">Vending · Bldg 110 The Spot - Student Lounge (MUBED01)</t>
  </si>
  <si>
    <t xml:space="preserve">MUBED01</t>
  </si>
  <si>
    <t xml:space="preserve">UOM-VM-029</t>
  </si>
  <si>
    <t xml:space="preserve">Vending · Bldg 105 LG FBE - Entrance (287)</t>
  </si>
  <si>
    <t xml:space="preserve">FBE - Entrance</t>
  </si>
  <si>
    <t xml:space="preserve">287</t>
  </si>
  <si>
    <t xml:space="preserve">UOM-VM-030</t>
  </si>
  <si>
    <t xml:space="preserve">Vending · Bldg 105 LG FBE - Entrance (MUFBED01)</t>
  </si>
  <si>
    <t xml:space="preserve">MUFBED01</t>
  </si>
  <si>
    <t xml:space="preserve">UOM-VM-031</t>
  </si>
  <si>
    <t xml:space="preserve">Vending · Bldg 105 LG FBE - Entrance (MUFBEC01)</t>
  </si>
  <si>
    <t xml:space="preserve">MUFBEC01</t>
  </si>
  <si>
    <t xml:space="preserve">UOM-VM-032</t>
  </si>
  <si>
    <t xml:space="preserve">Vending · Brownless Biomedical Library (182) Ground Floor at entrance (Vendy 68)</t>
  </si>
  <si>
    <t xml:space="preserve">Brownless Biomedical Library (182) Ground Floor at entrance</t>
  </si>
  <si>
    <t xml:space="preserve">Vendy 68</t>
  </si>
  <si>
    <t xml:space="preserve">UOM-VM-033</t>
  </si>
  <si>
    <t xml:space="preserve">Vending · Brownless Biomedical Library (182) Ground Floor at entrance (MUBRLC01)</t>
  </si>
  <si>
    <t xml:space="preserve">MUBRLC01</t>
  </si>
  <si>
    <t xml:space="preserve">UOM-VM-034</t>
  </si>
  <si>
    <t xml:space="preserve">Vending · Brownless Biomedical Library (182) Ground Floor at entrance (MUBRLD01)</t>
  </si>
  <si>
    <t xml:space="preserve">MUBRLD01</t>
  </si>
  <si>
    <t xml:space="preserve">UOM-VM-035</t>
  </si>
  <si>
    <t xml:space="preserve">Vending · Bldg 106 106 Common area (79)</t>
  </si>
  <si>
    <t xml:space="preserve">106 Common area</t>
  </si>
  <si>
    <t xml:space="preserve">79</t>
  </si>
  <si>
    <t xml:space="preserve">UOM-VM-036</t>
  </si>
  <si>
    <t xml:space="preserve">Vending · Bldg 106 106 Common area (288)</t>
  </si>
  <si>
    <t xml:space="preserve">288</t>
  </si>
  <si>
    <t xml:space="preserve">UOM-VM-037</t>
  </si>
  <si>
    <t xml:space="preserve">Vending · Bldg 106 GM 106 David P Derham Theatre (313)</t>
  </si>
  <si>
    <t xml:space="preserve">106 David P Derham Theatre</t>
  </si>
  <si>
    <t xml:space="preserve">GM</t>
  </si>
  <si>
    <t xml:space="preserve">313</t>
  </si>
  <si>
    <t xml:space="preserve">UOM-VM-038</t>
  </si>
  <si>
    <t xml:space="preserve">Vending · Bldg 202 202 Under Stairwell</t>
  </si>
  <si>
    <t xml:space="preserve">202 Under Stairwell</t>
  </si>
  <si>
    <t xml:space="preserve">UOM-VM-039</t>
  </si>
  <si>
    <t xml:space="preserve">Vending · Bldg 202 202 Under Stairwell (16904)</t>
  </si>
  <si>
    <t xml:space="preserve">16904</t>
  </si>
  <si>
    <t xml:space="preserve">UOM-VM-040</t>
  </si>
  <si>
    <t xml:space="preserve">Vending · Bldg 260 L1 260 - Student Lounge Level 1 (298)</t>
  </si>
  <si>
    <t xml:space="preserve">260 - Student Lounge Level 1</t>
  </si>
  <si>
    <t xml:space="preserve">298</t>
  </si>
  <si>
    <t xml:space="preserve">UOM-VM-041</t>
  </si>
  <si>
    <t xml:space="preserve">Vending · Bldg 260 L1 260- Student Lounge Level 1 (MUAGBD01)</t>
  </si>
  <si>
    <t xml:space="preserve">260- Student Lounge Level 1</t>
  </si>
  <si>
    <t xml:space="preserve">MUAGBD01</t>
  </si>
  <si>
    <t xml:space="preserve">UOM-VM-042</t>
  </si>
  <si>
    <t xml:space="preserve">Vending · Bldg 125 LG 125 In the Kitchenette (27)</t>
  </si>
  <si>
    <t xml:space="preserve">125 In the Kitchenette</t>
  </si>
  <si>
    <t xml:space="preserve">27</t>
  </si>
  <si>
    <t xml:space="preserve">UOM-VM-043</t>
  </si>
  <si>
    <t xml:space="preserve">Vending · Bldg 148 LB Arts West (148) Basement West Wing (44)</t>
  </si>
  <si>
    <t xml:space="preserve">Arts West (148) Basement West Wing</t>
  </si>
  <si>
    <t xml:space="preserve">44</t>
  </si>
  <si>
    <t xml:space="preserve">UOM-VM-044</t>
  </si>
  <si>
    <t xml:space="preserve">Vending · Bldg 101 LG Beaurepaire Centre Opposite reception (MUGYMD02)</t>
  </si>
  <si>
    <t xml:space="preserve">Beaurepaire Centre Opposite reception</t>
  </si>
  <si>
    <t xml:space="preserve">MUGYMD02</t>
  </si>
  <si>
    <t xml:space="preserve">UOM-VM-045</t>
  </si>
  <si>
    <t xml:space="preserve">Vending · Bldg 103 Nona Lee Sports Centre Next to changerooms (314)</t>
  </si>
  <si>
    <t xml:space="preserve">Nona Lee Sports Centre Next to changerooms</t>
  </si>
  <si>
    <t xml:space="preserve">314</t>
  </si>
  <si>
    <t xml:space="preserve">UOM-VM-046</t>
  </si>
  <si>
    <t xml:space="preserve">Vending · Bldg 103 Nona Lee Sports Centre Next to changerooms (MUGYMD01)</t>
  </si>
  <si>
    <t xml:space="preserve">MUGYMD01</t>
  </si>
  <si>
    <t xml:space="preserve">UOM-VM-047</t>
  </si>
  <si>
    <t xml:space="preserve">Vending · Bldg 103 Nona Lee Sports Centre Next to changerooms (308)</t>
  </si>
  <si>
    <t xml:space="preserve">308</t>
  </si>
  <si>
    <t xml:space="preserve">UOM-VM-048</t>
  </si>
  <si>
    <t xml:space="preserve">Vending · Bldg 115 Redmond Barry Building Ground floor next to Lowe Lecture Theatre (312)</t>
  </si>
  <si>
    <t xml:space="preserve">Redmond Barry Building Ground floor next to Lowe Lecture Theatre</t>
  </si>
  <si>
    <t xml:space="preserve">312</t>
  </si>
  <si>
    <t xml:space="preserve">UOM-VM-049</t>
  </si>
  <si>
    <t xml:space="preserve">Vending · Bldg 177 LG Bailleu Library Ground level North wing study area (MUBALC01)</t>
  </si>
  <si>
    <t xml:space="preserve">Bailleu Library Ground level North wing study area</t>
  </si>
  <si>
    <t xml:space="preserve">MUBALC01</t>
  </si>
  <si>
    <t xml:space="preserve">UOM-VM-050</t>
  </si>
  <si>
    <t xml:space="preserve">Vending · Bailleu Library Ground level North wing study area (MUBALD01)</t>
  </si>
  <si>
    <t xml:space="preserve">MUBALD01</t>
  </si>
  <si>
    <t xml:space="preserve">UOM-VM-051</t>
  </si>
  <si>
    <t xml:space="preserve">Vending · Melbourne School of Design (MSD) Basement opposite room B120 (MUGLYD01)</t>
  </si>
  <si>
    <t xml:space="preserve">Melbourne School of Design (MSD) Basement opposite room B120</t>
  </si>
  <si>
    <t xml:space="preserve">UOM-VM-052</t>
  </si>
  <si>
    <t xml:space="preserve">Vending · Bldg 173 L1 Old Engineering Level 1 outside kitchen area (MUOLED01)</t>
  </si>
  <si>
    <t xml:space="preserve">Old Engineering Level 1 outside kitchen area</t>
  </si>
  <si>
    <t xml:space="preserve">MUOLED01</t>
  </si>
  <si>
    <t xml:space="preserve">George Johnson – MON – Clayton</t>
  </si>
  <si>
    <t xml:space="preserve">George Johnson – MON – Caulfield</t>
  </si>
  <si>
    <t xml:space="preserve">Milla Burgess – VU – All</t>
  </si>
  <si>
    <t xml:space="preserve">All</t>
  </si>
  <si>
    <t xml:space="preserve">Alex Mozjerin – RMIT – All</t>
  </si>
  <si>
    <t xml:space="preserve">Kristie Phan – SWI – All</t>
  </si>
  <si>
    <t xml:space="preserve">Ella Dzielakowski – SWI – All</t>
  </si>
  <si>
    <t xml:space="preserve">Abi James – UTAS – All</t>
  </si>
  <si>
    <t xml:space="preserve">Lachlan Heath – UTAS – All</t>
  </si>
  <si>
    <t xml:space="preserve">Amanda Shen – UOM – All</t>
  </si>
  <si>
    <t xml:space="preserve">Andy Sitch – UOM – All</t>
  </si>
  <si>
    <t xml:space="preserve">George Johnson – LTU – All</t>
  </si>
  <si>
    <t xml:space="preserve">Milla Burgess – LTU – All</t>
  </si>
  <si>
    <t xml:space="preserve">Alex Mozjerin – LTU – All</t>
  </si>
  <si>
    <t xml:space="preserve">Kristie Phan – LTU – All</t>
  </si>
  <si>
    <t xml:space="preserve">Ella Dzielakowski – LTU – All</t>
  </si>
  <si>
    <t xml:space="preserve">Abi James – LTU – All</t>
  </si>
  <si>
    <t xml:space="preserve">Lachlan Heath – LTU – All</t>
  </si>
  <si>
    <t xml:space="preserve">Amanda Shen – LTU – All</t>
  </si>
  <si>
    <t xml:space="preserve">Andy Sitch – LTU – All</t>
  </si>
  <si>
    <t xml:space="preserve">George Johnson – DEA – All</t>
  </si>
  <si>
    <t xml:space="preserve">Milla Burgess – DEA – All</t>
  </si>
  <si>
    <t xml:space="preserve">Alex Mozjerin – DEA – All</t>
  </si>
  <si>
    <t xml:space="preserve">Kristie Phan – DEA – All</t>
  </si>
  <si>
    <t xml:space="preserve">Ella Dzielakowski – DEA – All</t>
  </si>
  <si>
    <t xml:space="preserve">Abi James – DEA – All</t>
  </si>
  <si>
    <t xml:space="preserve">Lachlan Heath – DEA – All</t>
  </si>
  <si>
    <t xml:space="preserve">Amanda Shen – DEA – All</t>
  </si>
  <si>
    <t xml:space="preserve">Andy Sitch – DEA – All</t>
  </si>
  <si>
    <t xml:space="preserve">DEA-V0001</t>
  </si>
  <si>
    <t xml:space="preserve">2026-05-12</t>
  </si>
  <si>
    <t xml:space="preserve">Imported: last visit recorded on the audit tab</t>
  </si>
  <si>
    <t xml:space="preserve">DEA-V0002</t>
  </si>
  <si>
    <t xml:space="preserve">DEA-V0003</t>
  </si>
  <si>
    <t xml:space="preserve">DEA-V0004</t>
  </si>
  <si>
    <t xml:space="preserve">LTU-V0001</t>
  </si>
  <si>
    <t xml:space="preserve">2026-08-11</t>
  </si>
  <si>
    <t xml:space="preserve">LTU-V0002</t>
  </si>
  <si>
    <t xml:space="preserve">LTU-V0003</t>
  </si>
  <si>
    <t xml:space="preserve">LTU-V0004</t>
  </si>
  <si>
    <t xml:space="preserve">LTU-V0005</t>
  </si>
  <si>
    <t xml:space="preserve">LTU-V0006</t>
  </si>
  <si>
    <t xml:space="preserve">2026-09-30</t>
  </si>
  <si>
    <t xml:space="preserve">LTU-V0007</t>
  </si>
  <si>
    <t xml:space="preserve">LTU-V0008</t>
  </si>
  <si>
    <t xml:space="preserve">LTU-V0009</t>
  </si>
  <si>
    <t xml:space="preserve">LTU-V0010</t>
  </si>
  <si>
    <t xml:space="preserve">LTU-V0011</t>
  </si>
  <si>
    <t xml:space="preserve">MON-V0001</t>
  </si>
  <si>
    <t xml:space="preserve">2024-10-20</t>
  </si>
  <si>
    <t xml:space="preserve">MON-V0002</t>
  </si>
  <si>
    <t xml:space="preserve">MON-V0003</t>
  </si>
  <si>
    <t xml:space="preserve">MON-V0004</t>
  </si>
  <si>
    <t xml:space="preserve">2026-02-06</t>
  </si>
  <si>
    <t xml:space="preserve">MON-V0005</t>
  </si>
  <si>
    <t xml:space="preserve">MON-V0006</t>
  </si>
  <si>
    <t xml:space="preserve">MON-V0007</t>
  </si>
  <si>
    <t xml:space="preserve">MON-V0008</t>
  </si>
  <si>
    <t xml:space="preserve">2026-09-09</t>
  </si>
  <si>
    <t xml:space="preserve">MON-V0009</t>
  </si>
  <si>
    <t xml:space="preserve">MON-V0010</t>
  </si>
  <si>
    <t xml:space="preserve">MON-V0011</t>
  </si>
  <si>
    <t xml:space="preserve">MON-V0012</t>
  </si>
  <si>
    <t xml:space="preserve">MON-V0013</t>
  </si>
  <si>
    <t xml:space="preserve">MON-V0014</t>
  </si>
  <si>
    <t xml:space="preserve">MON-V0015</t>
  </si>
  <si>
    <t xml:space="preserve">MON-V0016</t>
  </si>
  <si>
    <t xml:space="preserve">MON-V0017</t>
  </si>
  <si>
    <t xml:space="preserve">MON-V0018</t>
  </si>
  <si>
    <t xml:space="preserve">MON-V0019</t>
  </si>
  <si>
    <t xml:space="preserve">MON-V0020</t>
  </si>
  <si>
    <t xml:space="preserve">MON-V0021</t>
  </si>
  <si>
    <t xml:space="preserve">MON-V0022</t>
  </si>
  <si>
    <t xml:space="preserve">MON-V0023</t>
  </si>
  <si>
    <t xml:space="preserve">MON-V0024</t>
  </si>
  <si>
    <t xml:space="preserve">MON-V0025</t>
  </si>
  <si>
    <t xml:space="preserve">MON-V0026</t>
  </si>
  <si>
    <t xml:space="preserve">MON-V0027</t>
  </si>
  <si>
    <t xml:space="preserve">MON-V0028</t>
  </si>
  <si>
    <t xml:space="preserve">MON-V0029</t>
  </si>
  <si>
    <t xml:space="preserve">MON-V0030</t>
  </si>
  <si>
    <t xml:space="preserve">MON-V0031</t>
  </si>
  <si>
    <t xml:space="preserve">MON-V0032</t>
  </si>
  <si>
    <t xml:space="preserve">MON-V0033</t>
  </si>
  <si>
    <t xml:space="preserve">MON-V0034</t>
  </si>
  <si>
    <t xml:space="preserve">MON-V0035</t>
  </si>
  <si>
    <t xml:space="preserve">MON-V0036</t>
  </si>
  <si>
    <t xml:space="preserve">RMIT-V0001</t>
  </si>
  <si>
    <t xml:space="preserve">2026-03-30</t>
  </si>
  <si>
    <t xml:space="preserve">RMIT-V0002</t>
  </si>
  <si>
    <t xml:space="preserve">RMIT-V0003</t>
  </si>
  <si>
    <t xml:space="preserve">2026-08-05</t>
  </si>
  <si>
    <t xml:space="preserve">RMIT-V0004</t>
  </si>
  <si>
    <t xml:space="preserve">RMIT-V0005</t>
  </si>
  <si>
    <t xml:space="preserve">RMIT-V0006</t>
  </si>
  <si>
    <t xml:space="preserve">RMIT-V0007</t>
  </si>
  <si>
    <t xml:space="preserve">RMIT-V0008</t>
  </si>
  <si>
    <t xml:space="preserve">RMIT-V0009</t>
  </si>
  <si>
    <t xml:space="preserve">RMIT-V0010</t>
  </si>
  <si>
    <t xml:space="preserve">2026-08-14</t>
  </si>
  <si>
    <t xml:space="preserve">RMIT-V0011</t>
  </si>
  <si>
    <t xml:space="preserve">RMIT-V0012</t>
  </si>
  <si>
    <t xml:space="preserve">RMIT-V0013</t>
  </si>
  <si>
    <t xml:space="preserve">RMIT-V0014</t>
  </si>
  <si>
    <t xml:space="preserve">RMIT-V0015</t>
  </si>
  <si>
    <t xml:space="preserve">RMIT-V0016</t>
  </si>
  <si>
    <t xml:space="preserve">RMIT-V0017</t>
  </si>
  <si>
    <t xml:space="preserve">RMIT-V0018</t>
  </si>
  <si>
    <t xml:space="preserve">RMIT-V0019</t>
  </si>
  <si>
    <t xml:space="preserve">RMIT-V0020</t>
  </si>
  <si>
    <t xml:space="preserve">SWI-V0001</t>
  </si>
  <si>
    <t xml:space="preserve">2026-08-09</t>
  </si>
  <si>
    <t xml:space="preserve">SWI-V0002</t>
  </si>
  <si>
    <t xml:space="preserve">2026-09-17</t>
  </si>
  <si>
    <t xml:space="preserve">SWI-V0003</t>
  </si>
  <si>
    <t xml:space="preserve">SWI-V0004</t>
  </si>
  <si>
    <t xml:space="preserve">SWI-V0005</t>
  </si>
  <si>
    <t xml:space="preserve">SWI-V0006</t>
  </si>
  <si>
    <t xml:space="preserve">UOM-V0001</t>
  </si>
  <si>
    <t xml:space="preserve">2026-01-26</t>
  </si>
  <si>
    <t xml:space="preserve">UOM-V0002</t>
  </si>
  <si>
    <t xml:space="preserve">2026-02-05</t>
  </si>
  <si>
    <t xml:space="preserve">UOM-V0003</t>
  </si>
  <si>
    <t xml:space="preserve">2026-03-09</t>
  </si>
  <si>
    <t xml:space="preserve">UOM-V0004</t>
  </si>
  <si>
    <t xml:space="preserve">UOM-V0005</t>
  </si>
  <si>
    <t xml:space="preserve">2026-04-21</t>
  </si>
  <si>
    <t xml:space="preserve">UOM-V0006</t>
  </si>
  <si>
    <t xml:space="preserve">2026-05-11</t>
  </si>
  <si>
    <t xml:space="preserve">UOM-V0007</t>
  </si>
  <si>
    <t xml:space="preserve">2026-05-25</t>
  </si>
  <si>
    <t xml:space="preserve">UOM-V0008</t>
  </si>
  <si>
    <t xml:space="preserve">UOM-V0009</t>
  </si>
  <si>
    <t xml:space="preserve">UOM-V0010</t>
  </si>
  <si>
    <t xml:space="preserve">UOM-V0011</t>
  </si>
  <si>
    <t xml:space="preserve">UOM-V0012</t>
  </si>
  <si>
    <t xml:space="preserve">2026-06-15</t>
  </si>
  <si>
    <t xml:space="preserve">UOM-V0013</t>
  </si>
  <si>
    <t xml:space="preserve">UOM-V0014</t>
  </si>
  <si>
    <t xml:space="preserve">UOM-V0015</t>
  </si>
  <si>
    <t xml:space="preserve">UOM-V0016</t>
  </si>
  <si>
    <t xml:space="preserve">UOM-V0017</t>
  </si>
  <si>
    <t xml:space="preserve">UOM-V0018</t>
  </si>
  <si>
    <t xml:space="preserve">UOM-V0019</t>
  </si>
  <si>
    <t xml:space="preserve">UOM-V0020</t>
  </si>
  <si>
    <t xml:space="preserve">UOM-V0021</t>
  </si>
  <si>
    <t xml:space="preserve">UOM-V0022</t>
  </si>
  <si>
    <t xml:space="preserve">UOM-V0023</t>
  </si>
  <si>
    <t xml:space="preserve">2026-09-03</t>
  </si>
  <si>
    <t xml:space="preserve">UOM-V0024</t>
  </si>
  <si>
    <t xml:space="preserve">UOM-V0025</t>
  </si>
  <si>
    <t xml:space="preserve">2026-09-04</t>
  </si>
  <si>
    <t xml:space="preserve">UOM-V0026</t>
  </si>
  <si>
    <t xml:space="preserve">2026-09-05</t>
  </si>
  <si>
    <t xml:space="preserve">Launch (recommended)</t>
  </si>
  <si>
    <t xml:space="preserve">2026-11-01</t>
  </si>
  <si>
    <t xml:space="preserve">Default</t>
  </si>
  <si>
    <t xml:space="preserve">Congratulations to {first}, {second} and {third}, the {month} podium. Thanks to all {ranked} ranked Student Marketeers for the work on campus this month.</t>
  </si>
</sst>
</file>

<file path=xl/styles.xml><?xml version="1.0" encoding="utf-8"?>
<styleSheet xmlns="http://schemas.openxmlformats.org/spreadsheetml/2006/main">
  <numFmts count="2">
    <numFmt numFmtId="164" formatCode="General"/>
    <numFmt numFmtId="165" formatCode="\$#,##0.00"/>
  </numFmts>
  <fonts count="11">
    <font>
      <sz val="11"/>
      <color theme="1"/>
      <name val="Calibri"/>
      <family val="2"/>
      <charset val="1"/>
    </font>
    <font>
      <sz val="10"/>
      <name val="Arial"/>
      <family val="0"/>
    </font>
    <font>
      <sz val="10"/>
      <name val="Arial"/>
      <family val="0"/>
    </font>
    <font>
      <sz val="10"/>
      <name val="Arial"/>
      <family val="0"/>
    </font>
    <font>
      <b val="true"/>
      <sz val="16"/>
      <color rgb="FF0B2A5B"/>
      <name val="Arial"/>
      <family val="0"/>
      <charset val="1"/>
    </font>
    <font>
      <i val="true"/>
      <sz val="9"/>
      <color rgb="FF4A5568"/>
      <name val="Arial"/>
      <family val="0"/>
      <charset val="1"/>
    </font>
    <font>
      <b val="true"/>
      <sz val="12"/>
      <color rgb="FF0B2A5B"/>
      <name val="Arial"/>
      <family val="0"/>
      <charset val="1"/>
    </font>
    <font>
      <sz val="10"/>
      <name val="Arial"/>
      <family val="0"/>
      <charset val="1"/>
    </font>
    <font>
      <b val="true"/>
      <sz val="10"/>
      <color rgb="FFFFFFFF"/>
      <name val="Arial"/>
      <family val="0"/>
      <charset val="1"/>
    </font>
    <font>
      <b val="true"/>
      <sz val="10"/>
      <name val="Arial"/>
      <family val="0"/>
      <charset val="1"/>
    </font>
    <font>
      <sz val="10"/>
      <name val="Arial"/>
      <family val="2"/>
    </font>
  </fonts>
  <fills count="5">
    <fill>
      <patternFill patternType="none"/>
    </fill>
    <fill>
      <patternFill patternType="gray125"/>
    </fill>
    <fill>
      <patternFill patternType="solid">
        <fgColor rgb="FF0B2A5B"/>
        <bgColor rgb="FF333333"/>
      </patternFill>
    </fill>
    <fill>
      <patternFill patternType="solid">
        <fgColor rgb="FFE8EEF8"/>
        <bgColor rgb="FFE3F4EA"/>
      </patternFill>
    </fill>
    <fill>
      <patternFill patternType="solid">
        <fgColor rgb="FFFFF5D1"/>
        <bgColor rgb="FFFDE8EB"/>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7" fillId="4"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ont>
        <name val="Arial"/>
        <charset val="1"/>
        <family val="0"/>
        <b val="1"/>
        <color rgb="FF1E7B45"/>
      </font>
      <fill>
        <patternFill>
          <bgColor rgb="FFE3F4EA"/>
        </patternFill>
      </fill>
    </dxf>
    <dxf>
      <font>
        <name val="Arial"/>
        <charset val="1"/>
        <family val="0"/>
        <b val="1"/>
        <color rgb="FF9B0B22"/>
      </font>
      <fill>
        <patternFill>
          <bgColor rgb="FFFDE8EB"/>
        </patternFill>
      </fill>
    </dxf>
    <dxf>
      <fill>
        <patternFill patternType="solid">
          <fgColor rgb="FF0B2A5B"/>
          <bgColor rgb="FF000000"/>
        </patternFill>
      </fill>
    </dxf>
    <dxf>
      <fill>
        <patternFill patternType="solid">
          <fgColor rgb="FFE8EEF8"/>
          <bgColor rgb="FF000000"/>
        </patternFill>
      </fill>
    </dxf>
    <dxf>
      <fill>
        <patternFill patternType="solid">
          <bgColor rgb="FF000000"/>
        </patternFill>
      </fill>
    </dxf>
    <dxf>
      <fill>
        <patternFill patternType="solid">
          <fgColor rgb="FFFFFFFF"/>
          <bgColor rgb="FF000000"/>
        </patternFill>
      </fill>
    </dxf>
    <dxf>
      <fill>
        <patternFill patternType="solid">
          <fgColor rgb="FFFFF5D1"/>
          <bgColor rgb="FF000000"/>
        </patternFill>
      </fill>
    </dxf>
  </dxfs>
  <colors>
    <indexedColors>
      <rgbColor rgb="FF000000"/>
      <rgbColor rgb="FFFFFFFF"/>
      <rgbColor rgb="FFFF0000"/>
      <rgbColor rgb="FF00FF00"/>
      <rgbColor rgb="FF0000FF"/>
      <rgbColor rgb="FFFFFF00"/>
      <rgbColor rgb="FFFF00FF"/>
      <rgbColor rgb="FF00FFFF"/>
      <rgbColor rgb="FF9B0B22"/>
      <rgbColor rgb="FF008000"/>
      <rgbColor rgb="FF000080"/>
      <rgbColor rgb="FF808000"/>
      <rgbColor rgb="FF800080"/>
      <rgbColor rgb="FF1E7B45"/>
      <rgbColor rgb="FFC0C0C0"/>
      <rgbColor rgb="FF808080"/>
      <rgbColor rgb="FF9999FF"/>
      <rgbColor rgb="FF993366"/>
      <rgbColor rgb="FFFFF5D1"/>
      <rgbColor rgb="FFE3F4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8EEF8"/>
      <rgbColor rgb="FFCCFFCC"/>
      <rgbColor rgb="FFFDE8EB"/>
      <rgbColor rgb="FF99CCFF"/>
      <rgbColor rgb="FFFF99CC"/>
      <rgbColor rgb="FFCC99FF"/>
      <rgbColor rgb="FFFFCC99"/>
      <rgbColor rgb="FF3366FF"/>
      <rgbColor rgb="FF33CCCC"/>
      <rgbColor rgb="FF99CC00"/>
      <rgbColor rgb="FFFFCC00"/>
      <rgbColor rgb="FFFF9900"/>
      <rgbColor rgb="FFFF6600"/>
      <rgbColor rgb="FF4A5568"/>
      <rgbColor rgb="FF969696"/>
      <rgbColor rgb="FF0B2A5B"/>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Allocations" displayName="Allocations" ref="A1:E29" headerRowCount="1" totalsRowCount="0" totalsRowShown="0">
  <autoFilter ref="A1:E29"/>
  <tableColumns count="5">
    <tableColumn id="1" name="Name"/>
    <tableColumn id="2" name="Staff Member"/>
    <tableColumn id="3" name="Institution"/>
    <tableColumn id="4" name="Campus"/>
    <tableColumn id="5" name="Status"/>
  </tableColumns>
</table>
</file>

<file path=xl/tables/table2.xml><?xml version="1.0" encoding="utf-8"?>
<table xmlns="http://schemas.openxmlformats.org/spreadsheetml/2006/main" id="2" name="Campuses" displayName="Campuses" ref="A1:C189" headerRowCount="1" totalsRowCount="0" totalsRowShown="0">
  <autoFilter ref="A1:C189"/>
  <tableColumns count="3">
    <tableColumn id="1" name="Campus Key"/>
    <tableColumn id="2" name="Campus Name"/>
    <tableColumn id="3" name="Institution"/>
  </tableColumns>
</table>
</file>

<file path=xl/tables/table3.xml><?xml version="1.0" encoding="utf-8"?>
<table xmlns="http://schemas.openxmlformats.org/spreadsheetml/2006/main" id="3" name="Choices" displayName="Choices" ref="A1:C97" headerRowCount="1" totalsRowCount="0" totalsRowShown="0">
  <autoFilter ref="A1:C97"/>
  <tableColumns count="3">
    <tableColumn id="1" name="Choice set"/>
    <tableColumn id="2" name="Label"/>
    <tableColumn id="3" name="Order"/>
  </tableColumns>
</table>
</file>

<file path=xl/tables/table4.xml><?xml version="1.0" encoding="utf-8"?>
<table xmlns="http://schemas.openxmlformats.org/spreadsheetml/2006/main" id="4" name="Competitors" displayName="Competitors" ref="A1:C6" headerRowCount="1" totalsRowCount="0" totalsRowShown="0">
  <autoFilter ref="A1:C6"/>
  <tableColumns count="3">
    <tableColumn id="1" name="Name"/>
    <tableColumn id="2" name="Active"/>
    <tableColumn id="3" name="Added From Field"/>
  </tableColumns>
</table>
</file>

<file path=xl/tables/table5.xml><?xml version="1.0" encoding="utf-8"?>
<table xmlns="http://schemas.openxmlformats.org/spreadsheetml/2006/main" id="5" name="Distribution" displayName="Distribution" ref="A1:H2" headerRowCount="1" totalsRowCount="0" totalsRowShown="0">
  <autoFilter ref="A1:H2"/>
  <tableColumns count="8">
    <tableColumn id="1" name="Name"/>
    <tableColumn id="2" name="Send to Channel Leads"/>
    <tableColumn id="3" name="Send to Administrators"/>
    <tableColumn id="4" name="Send to Student Marketeers"/>
    <tableColumn id="5" name="Additional Recipients"/>
    <tableColumn id="6" name="Method"/>
    <tableColumn id="7" name="Send By Business Day"/>
    <tableColumn id="8" name="Message Template"/>
  </tableColumns>
</table>
</file>

<file path=xl/tables/table6.xml><?xml version="1.0" encoding="utf-8"?>
<table xmlns="http://schemas.openxmlformats.org/spreadsheetml/2006/main" id="6" name="Institutions" displayName="Institutions" ref="A1:G60" headerRowCount="1" totalsRowCount="0" totalsRowShown="0">
  <autoFilter ref="A1:G60"/>
  <tableColumns count="7">
    <tableColumn id="1" name="Code"/>
    <tableColumn id="2" name="Institution Name"/>
    <tableColumn id="3" name="Short Name"/>
    <tableColumn id="4" name="Kind"/>
    <tableColumn id="5" name="State"/>
    <tableColumn id="6" name="Status"/>
    <tableColumn id="7" name="Note"/>
  </tableColumns>
</table>
</file>

<file path=xl/tables/table7.xml><?xml version="1.0" encoding="utf-8"?>
<table xmlns="http://schemas.openxmlformats.org/spreadsheetml/2006/main" id="7" name="Leads" displayName="Leads" ref="A1:C8" headerRowCount="1" totalsRowCount="0" totalsRowShown="0">
  <autoFilter ref="A1:C8"/>
  <tableColumns count="3">
    <tableColumn id="1" name="Name"/>
    <tableColumn id="2" name="Lead"/>
    <tableColumn id="3" name="State"/>
  </tableColumns>
</table>
</file>

<file path=xl/tables/table8.xml><?xml version="1.0" encoding="utf-8"?>
<table xmlns="http://schemas.openxmlformats.org/spreadsheetml/2006/main" id="8" name="Locations" displayName="Locations" ref="A1:AP216" headerRowCount="1" totalsRowCount="0" totalsRowShown="0">
  <autoFilter ref="A1:AP216"/>
  <tableColumns count="42">
    <tableColumn id="1" name="Location ID"/>
    <tableColumn id="2" name="Location Name"/>
    <tableColumn id="3" name="Institution"/>
    <tableColumn id="4" name="Campus"/>
    <tableColumn id="5" name="Store Location Type"/>
    <tableColumn id="6" name="Type Confirmed"/>
    <tableColumn id="7" name="Status"/>
    <tableColumn id="8" name="Date Added"/>
    <tableColumn id="9" name="Visit Cycle (days)"/>
    <tableColumn id="10" name="Address"/>
    <tableColumn id="11" name="Postcode"/>
    <tableColumn id="12" name="Landmark"/>
    <tableColumn id="13" name="Building"/>
    <tableColumn id="14" name="Level"/>
    <tableColumn id="15" name="Ranged: Energy Drink"/>
    <tableColumn id="16" name="Ranged: Sugarfree"/>
    <tableColumn id="17" name="Ranged: Zero"/>
    <tableColumn id="18" name="Ranged: Editions"/>
    <tableColumn id="19" name="Ranged: Monster"/>
    <tableColumn id="20" name="Ranged: Monster Ultra"/>
    <tableColumn id="21" name="Ranged: V"/>
    <tableColumn id="22" name="Ranged: V Sugarfree"/>
    <tableColumn id="23" name="Ranged: V Blue"/>
    <tableColumn id="24" name="Ranged: Solo Energy"/>
    <tableColumn id="25" name="POS Present"/>
    <tableColumn id="26" name="Cooler Present"/>
    <tableColumn id="27" name="Red Bull Price"/>
    <tableColumn id="28" name="Top Competitor"/>
    <tableColumn id="29" name="Competitor Price"/>
    <tableColumn id="30" name="Bullring or Bull’s Eye"/>
    <tableColumn id="31" name="Channel"/>
    <tableColumn id="32" name="Classification"/>
    <tableColumn id="33" name="IND or NKA"/>
    <tableColumn id="34" name="Red Bull Owner"/>
    <tableColumn id="35" name="Store Contact"/>
    <tableColumn id="36" name="Vending Company"/>
    <tableColumn id="37" name="Machine ID"/>
    <tableColumn id="38" name="V SKU Count"/>
    <tableColumn id="39" name="V Price"/>
    <tableColumn id="40" name="Monster SKU Count"/>
    <tableColumn id="41" name="Monster Price"/>
    <tableColumn id="42" name="Latest Note"/>
  </tableColumns>
</table>
</file>

<file path=xl/tables/table9.xml><?xml version="1.0" encoding="utf-8"?>
<table xmlns="http://schemas.openxmlformats.org/spreadsheetml/2006/main" id="9" name="ReportsTo" displayName="ReportsTo" ref="A1:B71" headerRowCount="1" totalsRowCount="0" totalsRowShown="0">
  <autoFilter ref="A1:B71"/>
  <tableColumns count="2">
    <tableColumn id="1" name="Full Name"/>
    <tableColumn id="2" name="Reports To"/>
  </tableColumns>
</table>
</file>

<file path=xl/tables/table10.xml><?xml version="1.0" encoding="utf-8"?>
<table xmlns="http://schemas.openxmlformats.org/spreadsheetml/2006/main" id="10" name="Scoring" displayName="Scoring" ref="A1:O2" headerRowCount="1" totalsRowCount="0" totalsRowShown="0">
  <autoFilter ref="A1:O2"/>
  <tableColumns count="15">
    <tableColumn id="1" name="Name"/>
    <tableColumn id="2" name="Effective From"/>
    <tableColumn id="3" name="Weight Ranging"/>
    <tableColumn id="4" name="Weight TDP"/>
    <tableColumn id="5" name="Weight Editions"/>
    <tableColumn id="6" name="Weight POS"/>
    <tableColumn id="7" name="Weight Coolers"/>
    <tableColumn id="8" name="Normalisation"/>
    <tableColumn id="9" name="Target TDP"/>
    <tableColumn id="10" name="Target Editions"/>
    <tableColumn id="11" name="Target POS"/>
    <tableColumn id="12" name="Target Coolers"/>
    <tableColumn id="13" name="Minimum Approved Audits"/>
    <tableColumn id="14" name="Approval Mode"/>
    <tableColumn id="15" name="Is Current"/>
  </tableColumns>
</table>
</file>

<file path=xl/tables/table11.xml><?xml version="1.0" encoding="utf-8"?>
<table xmlns="http://schemas.openxmlformats.org/spreadsheetml/2006/main" id="11" name="States" displayName="States" ref="A1:B6" headerRowCount="1" totalsRowCount="0" totalsRowShown="0">
  <autoFilter ref="A1:B6"/>
  <tableColumns count="2">
    <tableColumn id="1" name="State Code"/>
    <tableColumn id="2" name="State Name"/>
  </tableColumns>
</table>
</file>

<file path=xl/tables/table12.xml><?xml version="1.0" encoding="utf-8"?>
<table xmlns="http://schemas.openxmlformats.org/spreadsheetml/2006/main" id="12" name="StoreTypes" displayName="StoreTypes" ref="A1:D6" headerRowCount="1" totalsRowCount="0" totalsRowShown="0">
  <autoFilter ref="A1:D6"/>
  <tableColumns count="4">
    <tableColumn id="1" name="Name"/>
    <tableColumn id="2" name="Active"/>
    <tableColumn id="3" name="Uses Vending Fields"/>
    <tableColumn id="4" name="Sort Order"/>
  </tableColumns>
</table>
</file>

<file path=xl/tables/table13.xml><?xml version="1.0" encoding="utf-8"?>
<table xmlns="http://schemas.openxmlformats.org/spreadsheetml/2006/main" id="13" name="Users" displayName="Users" ref="A1:I103" headerRowCount="1" totalsRowCount="0" totalsRowShown="0">
  <autoFilter ref="A1:I103"/>
  <tableColumns count="9">
    <tableColumn id="1" name="Full Name"/>
    <tableColumn id="2" name="First Name"/>
    <tableColumn id="3" name="Last Name"/>
    <tableColumn id="4" name="Role"/>
    <tableColumn id="5" name="State"/>
    <tableColumn id="6" name="Status"/>
    <tableColumn id="7" name="Email"/>
    <tableColumn id="8" name="Disambiguation Label"/>
    <tableColumn id="9" name="Aliases"/>
  </tableColumns>
</table>
</file>

<file path=xl/tables/table14.xml><?xml version="1.0" encoding="utf-8"?>
<table xmlns="http://schemas.openxmlformats.org/spreadsheetml/2006/main" id="14" name="Visits" displayName="Visits" ref="A1:Q104" headerRowCount="1" totalsRowCount="0" totalsRowShown="0">
  <autoFilter ref="A1:Q104"/>
  <tableColumns count="17">
    <tableColumn id="1" name="Visit ID"/>
    <tableColumn id="2" name="Location"/>
    <tableColumn id="3" name="Institution"/>
    <tableColumn id="4" name="Visit Date"/>
    <tableColumn id="5" name="Visit Time"/>
    <tableColumn id="6" name="Staff Member"/>
    <tableColumn id="7" name="Visit Status"/>
    <tableColumn id="8" name="Approval Status"/>
    <tableColumn id="9" name="DPs Added"/>
    <tableColumn id="10" name="DPs Lost"/>
    <tableColumn id="11" name="Editions Sold In"/>
    <tableColumn id="12" name="POS Placed"/>
    <tableColumn id="13" name="Coolers Installed"/>
    <tableColumn id="14" name="Coolers Removed"/>
    <tableColumn id="15" name="Notes"/>
    <tableColumn id="16" name="Next Step"/>
    <tableColumn id="17" name="Imported"/>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table" Target="../tables/table11.xml"/>
</Relationships>
</file>

<file path=xl/worksheets/_rels/sheet6.xml.rels><?xml version="1.0" encoding="UTF-8"?>
<Relationships xmlns="http://schemas.openxmlformats.org/package/2006/relationships"><Relationship Id="rId1" Type="http://schemas.openxmlformats.org/officeDocument/2006/relationships/table" Target="../tables/table12.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2.vml"/><Relationship Id="rId3" Type="http://schemas.openxmlformats.org/officeDocument/2006/relationships/table" Target="../tables/table13.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3.vml"/><Relationship Id="rId3" Type="http://schemas.openxmlformats.org/officeDocument/2006/relationships/table" Target="../tables/table9.xml"/>
</Relationships>
</file>

<file path=xl/worksheets/_rels/sheet9.xml.rels><?xml version="1.0" encoding="UTF-8"?>
<Relationships xmlns="http://schemas.openxmlformats.org/package/2006/relationships"><Relationship Id="rId1" Type="http://schemas.openxmlformats.org/officeDocument/2006/relationships/table" Target="../tables/table7.xml"/>
</Relationships>
</file>

<file path=xl/worksheets/_rels/sheet10.xml.rels><?xml version="1.0" encoding="UTF-8"?>
<Relationships xmlns="http://schemas.openxmlformats.org/package/2006/relationships"><Relationship Id="rId1" Type="http://schemas.openxmlformats.org/officeDocument/2006/relationships/table" Target="../tables/table6.xml"/>
</Relationships>
</file>

<file path=xl/worksheets/_rels/sheet11.xml.rels><?xml version="1.0" encoding="UTF-8"?>
<Relationships xmlns="http://schemas.openxmlformats.org/package/2006/relationships"><Relationship Id="rId1" Type="http://schemas.openxmlformats.org/officeDocument/2006/relationships/table" Target="../tables/table2.x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Relationship Id="rId3" Type="http://schemas.openxmlformats.org/officeDocument/2006/relationships/table" Target="../tables/table8.xml"/>
</Relationships>
</file>

<file path=xl/worksheets/_rels/sheet13.xml.rels><?xml version="1.0" encoding="UTF-8"?>
<Relationships xmlns="http://schemas.openxmlformats.org/package/2006/relationships"><Relationship Id="rId1" Type="http://schemas.openxmlformats.org/officeDocument/2006/relationships/table" Target="../tables/table1.x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5.vml"/><Relationship Id="rId3" Type="http://schemas.openxmlformats.org/officeDocument/2006/relationships/table" Target="../tables/table14.xml"/>
</Relationships>
</file>

<file path=xl/worksheets/_rels/sheet15.xml.rels><?xml version="1.0" encoding="UTF-8"?>
<Relationships xmlns="http://schemas.openxmlformats.org/package/2006/relationships"><Relationship Id="rId1" Type="http://schemas.openxmlformats.org/officeDocument/2006/relationships/table" Target="../tables/table4.x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6.vml"/><Relationship Id="rId3" Type="http://schemas.openxmlformats.org/officeDocument/2006/relationships/table" Target="../tables/table10.xml"/>
</Relationships>
</file>

<file path=xl/worksheets/_rels/sheet17.xml.rels><?xml version="1.0" encoding="UTF-8"?>
<Relationships xmlns="http://schemas.openxmlformats.org/package/2006/relationships"><Relationship Id="rId1"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5" t="s">
        <v>3</v>
      </c>
    </row>
    <row r="6" customFormat="false" ht="23.85" hidden="false" customHeight="false" outlineLevel="0" collapsed="false">
      <c r="A6" s="5" t="s">
        <v>4</v>
      </c>
    </row>
    <row r="7" customFormat="false" ht="15" hidden="false" customHeight="false" outlineLevel="0" collapsed="false">
      <c r="A7" s="5" t="s">
        <v>5</v>
      </c>
    </row>
    <row r="8" customFormat="false" ht="15" hidden="false" customHeight="false" outlineLevel="0" collapsed="false">
      <c r="A8" s="3"/>
    </row>
    <row r="9" customFormat="false" ht="15" hidden="false" customHeight="false" outlineLevel="0" collapsed="false">
      <c r="A9" s="4" t="s">
        <v>6</v>
      </c>
    </row>
    <row r="10" customFormat="false" ht="23.85" hidden="false" customHeight="false" outlineLevel="0" collapsed="false">
      <c r="A10" s="5" t="s">
        <v>7</v>
      </c>
    </row>
    <row r="11" customFormat="false" ht="23.85" hidden="false" customHeight="false" outlineLevel="0" collapsed="false">
      <c r="A11" s="5" t="s">
        <v>8</v>
      </c>
    </row>
    <row r="12" customFormat="false" ht="15" hidden="false" customHeight="false" outlineLevel="0" collapsed="false">
      <c r="A12" s="3"/>
    </row>
    <row r="13" customFormat="false" ht="15" hidden="false" customHeight="false" outlineLevel="0" collapsed="false">
      <c r="A13" s="4" t="s">
        <v>9</v>
      </c>
    </row>
    <row r="14" customFormat="false" ht="15" hidden="false" customHeight="false" outlineLevel="0" collapsed="false">
      <c r="A14" s="5" t="s">
        <v>10</v>
      </c>
    </row>
    <row r="15" customFormat="false" ht="15" hidden="false" customHeight="false" outlineLevel="0" collapsed="false">
      <c r="A15" s="3"/>
    </row>
    <row r="16" customFormat="false" ht="15" hidden="false" customHeight="false" outlineLevel="0" collapsed="false">
      <c r="A16" s="4" t="s">
        <v>11</v>
      </c>
    </row>
    <row r="17" customFormat="false" ht="23.85" hidden="false" customHeight="false" outlineLevel="0" collapsed="false">
      <c r="A17" s="5" t="s">
        <v>12</v>
      </c>
    </row>
    <row r="18" customFormat="false" ht="23.85" hidden="false" customHeight="false" outlineLevel="0" collapsed="false">
      <c r="A18" s="5" t="s">
        <v>13</v>
      </c>
    </row>
    <row r="19" customFormat="false" ht="15" hidden="false" customHeight="false" outlineLevel="0" collapsed="false">
      <c r="A19" s="5" t="s">
        <v>14</v>
      </c>
    </row>
    <row r="20" customFormat="false" ht="23.85" hidden="false" customHeight="false" outlineLevel="0" collapsed="false">
      <c r="A20" s="5" t="s">
        <v>15</v>
      </c>
    </row>
    <row r="21" customFormat="false" ht="15" hidden="false" customHeight="false" outlineLevel="0" collapsed="false">
      <c r="A21" s="5" t="s">
        <v>16</v>
      </c>
    </row>
    <row r="22" customFormat="false" ht="15" hidden="false" customHeight="false" outlineLevel="0" collapsed="false">
      <c r="A22" s="5" t="s">
        <v>17</v>
      </c>
    </row>
    <row r="23" customFormat="false" ht="23.85" hidden="false" customHeight="false" outlineLevel="0" collapsed="false">
      <c r="A23" s="5" t="s">
        <v>18</v>
      </c>
    </row>
    <row r="24" customFormat="false" ht="15" hidden="false" customHeight="false" outlineLevel="0" collapsed="false">
      <c r="A24" s="5" t="s">
        <v>19</v>
      </c>
    </row>
    <row r="26" customFormat="false" ht="15" hidden="false" customHeight="false" outlineLevel="0" collapsed="false">
      <c r="A26" s="6" t="s">
        <v>20</v>
      </c>
    </row>
    <row r="27" customFormat="false" ht="23.85" hidden="false" customHeight="false" outlineLevel="0" collapsed="false">
      <c r="A27" s="5" t="s">
        <v>21</v>
      </c>
    </row>
    <row r="28" customFormat="false" ht="15" hidden="false" customHeight="false" outlineLevel="0" collapsed="false">
      <c r="A28" s="5" t="s">
        <v>22</v>
      </c>
    </row>
    <row r="29" customFormat="false" ht="23.85" hidden="false" customHeight="false" outlineLevel="0" collapsed="false">
      <c r="A29" s="5" t="s">
        <v>23</v>
      </c>
    </row>
    <row r="30" customFormat="false" ht="15" hidden="false" customHeight="false" outlineLevel="0" collapsed="false">
      <c r="A30" s="5" t="s">
        <v>24</v>
      </c>
    </row>
    <row r="31" customFormat="false" ht="23.85" hidden="false" customHeight="false" outlineLevel="0" collapsed="false">
      <c r="A31" s="5" t="s">
        <v>25</v>
      </c>
    </row>
    <row r="32" customFormat="false" ht="15" hidden="false" customHeight="false" outlineLevel="0" collapsed="false">
      <c r="A32" s="7"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4" min="2" style="0" width="10"/>
  </cols>
  <sheetData>
    <row r="1" customFormat="false" ht="19.7" hidden="false" customHeight="false" outlineLevel="0" collapsed="false">
      <c r="A1" s="8" t="s">
        <v>27</v>
      </c>
    </row>
    <row r="2" customFormat="false" ht="15" hidden="false" customHeight="false" outlineLevel="0" collapsed="false">
      <c r="A2" s="7" t="s">
        <v>28</v>
      </c>
    </row>
    <row r="4" customFormat="false" ht="15" hidden="false" customHeight="false" outlineLevel="0" collapsed="false">
      <c r="A4" s="9" t="s">
        <v>29</v>
      </c>
      <c r="B4" s="9" t="s">
        <v>30</v>
      </c>
      <c r="C4" s="9" t="s">
        <v>31</v>
      </c>
      <c r="D4" s="9" t="s">
        <v>32</v>
      </c>
    </row>
    <row r="5" customFormat="false" ht="15" hidden="false" customHeight="false" outlineLevel="0" collapsed="false">
      <c r="A5" s="10" t="s">
        <v>33</v>
      </c>
      <c r="B5" s="10" t="n">
        <f aca="false">COUNTA(Users[Full Name])</f>
        <v>102</v>
      </c>
      <c r="C5" s="10" t="n">
        <v>102</v>
      </c>
      <c r="D5" s="11" t="str">
        <f aca="false">IF(C5="info","—",IF(B5=C5,"OK","Check"))</f>
        <v>OK</v>
      </c>
    </row>
    <row r="6" customFormat="false" ht="15" hidden="false" customHeight="false" outlineLevel="0" collapsed="false">
      <c r="A6" s="10" t="s">
        <v>34</v>
      </c>
      <c r="B6" s="10" t="n">
        <f aca="false">COUNTIF(Users[Role],"Student Marketeer")</f>
        <v>70</v>
      </c>
      <c r="C6" s="10" t="s">
        <v>35</v>
      </c>
      <c r="D6" s="11" t="str">
        <f aca="false">IF(C6="info","—",IF(B6=C6,"OK","Check"))</f>
        <v>—</v>
      </c>
    </row>
    <row r="7" customFormat="false" ht="15" hidden="false" customHeight="false" outlineLevel="0" collapsed="false">
      <c r="A7" s="10" t="s">
        <v>36</v>
      </c>
      <c r="B7" s="10" t="n">
        <f aca="false">COUNTIF(Users[Role],"Manager")</f>
        <v>16</v>
      </c>
      <c r="C7" s="10" t="s">
        <v>35</v>
      </c>
      <c r="D7" s="11" t="str">
        <f aca="false">IF(C7="info","—",IF(B7=C7,"OK","Check"))</f>
        <v>—</v>
      </c>
    </row>
    <row r="8" customFormat="false" ht="15" hidden="false" customHeight="false" outlineLevel="0" collapsed="false">
      <c r="A8" s="10" t="s">
        <v>37</v>
      </c>
      <c r="B8" s="10" t="n">
        <f aca="false">COUNTIF(Users[Role],"Administrator")</f>
        <v>16</v>
      </c>
      <c r="C8" s="10" t="s">
        <v>35</v>
      </c>
      <c r="D8" s="11" t="str">
        <f aca="false">IF(C8="info","—",IF(B8=C8,"OK","Check"))</f>
        <v>—</v>
      </c>
    </row>
    <row r="9" customFormat="false" ht="15" hidden="false" customHeight="false" outlineLevel="0" collapsed="false">
      <c r="A9" s="10" t="s">
        <v>38</v>
      </c>
      <c r="B9" s="10" t="n">
        <f aca="false">COUNTBLANK(Users[Email])</f>
        <v>102</v>
      </c>
      <c r="C9" s="10" t="n">
        <v>0</v>
      </c>
      <c r="D9" s="11" t="str">
        <f aca="false">IF(C9="info","—",IF(B9=C9,"OK","Check"))</f>
        <v>Check</v>
      </c>
    </row>
    <row r="10" customFormat="false" ht="15" hidden="false" customHeight="false" outlineLevel="0" collapsed="false">
      <c r="A10" s="10" t="s">
        <v>39</v>
      </c>
      <c r="B10" s="10" t="n">
        <f aca="false">SUMPRODUCT((COUNTIF(Users[Full Name],Users[Full Name])&gt;1)*1)</f>
        <v>0</v>
      </c>
      <c r="C10" s="10" t="n">
        <v>0</v>
      </c>
      <c r="D10" s="11" t="str">
        <f aca="false">IF(C10="info","—",IF(B10=C10,"OK","Check"))</f>
        <v>OK</v>
      </c>
    </row>
    <row r="11" customFormat="false" ht="15" hidden="false" customHeight="false" outlineLevel="0" collapsed="false">
      <c r="A11" s="10" t="s">
        <v>40</v>
      </c>
      <c r="B11" s="10" t="n">
        <f aca="false">COUNTBLANK(ReportsTo[Reports To])</f>
        <v>8</v>
      </c>
      <c r="C11" s="10" t="n">
        <v>0</v>
      </c>
      <c r="D11" s="11" t="str">
        <f aca="false">IF(C11="info","—",IF(B11=C11,"OK","Check"))</f>
        <v>Check</v>
      </c>
    </row>
    <row r="12" customFormat="false" ht="15" hidden="false" customHeight="false" outlineLevel="0" collapsed="false">
      <c r="A12" s="10" t="s">
        <v>41</v>
      </c>
      <c r="B12" s="10" t="n">
        <f aca="false">SUMPRODUCT((ReportsTo[Reports To]&lt;&gt;"")*(COUNTIFS(Users[Full Name],ReportsTo[Reports To],Users[Role],"Manager")=0))</f>
        <v>0</v>
      </c>
      <c r="C12" s="10" t="n">
        <v>0</v>
      </c>
      <c r="D12" s="11" t="str">
        <f aca="false">IF(C12="info","—",IF(B12=C12,"OK","Check"))</f>
        <v>OK</v>
      </c>
    </row>
    <row r="13" customFormat="false" ht="15" hidden="false" customHeight="false" outlineLevel="0" collapsed="false">
      <c r="A13" s="10" t="s">
        <v>42</v>
      </c>
      <c r="B13" s="10" t="n">
        <f aca="false">COUNTIFS(Users[Role],"&lt;&gt;Administrator",Users[State],"")</f>
        <v>0</v>
      </c>
      <c r="C13" s="10" t="n">
        <v>0</v>
      </c>
      <c r="D13" s="11" t="str">
        <f aca="false">IF(C13="info","—",IF(B13=C13,"OK","Check"))</f>
        <v>OK</v>
      </c>
    </row>
    <row r="14" customFormat="false" ht="15" hidden="false" customHeight="false" outlineLevel="0" collapsed="false">
      <c r="A14" s="10" t="s">
        <v>43</v>
      </c>
      <c r="B14" s="10" t="n">
        <f aca="false">SUMPRODUCT((COUNTIF(Users[Full Name],Leads[Lead])=0)*1)</f>
        <v>0</v>
      </c>
      <c r="C14" s="10" t="n">
        <v>0</v>
      </c>
      <c r="D14" s="11" t="str">
        <f aca="false">IF(C14="info","—",IF(B14=C14,"OK","Check"))</f>
        <v>OK</v>
      </c>
    </row>
    <row r="15" customFormat="false" ht="15" hidden="false" customHeight="false" outlineLevel="0" collapsed="false">
      <c r="A15" s="10" t="s">
        <v>44</v>
      </c>
      <c r="B15" s="10" t="n">
        <f aca="false">COUNTA(Locations[Location ID])</f>
        <v>215</v>
      </c>
      <c r="C15" s="10" t="n">
        <v>215</v>
      </c>
      <c r="D15" s="11" t="str">
        <f aca="false">IF(C15="info","—",IF(B15=C15,"OK","Check"))</f>
        <v>OK</v>
      </c>
    </row>
    <row r="16" customFormat="false" ht="15" hidden="false" customHeight="false" outlineLevel="0" collapsed="false">
      <c r="A16" s="10" t="s">
        <v>45</v>
      </c>
      <c r="B16" s="10" t="n">
        <f aca="false">SUMPRODUCT((COUNTIF(Locations[Location ID],Locations[Location ID])&gt;1)*1)</f>
        <v>0</v>
      </c>
      <c r="C16" s="10" t="n">
        <v>0</v>
      </c>
      <c r="D16" s="11" t="str">
        <f aca="false">IF(C16="info","—",IF(B16=C16,"OK","Check"))</f>
        <v>OK</v>
      </c>
    </row>
    <row r="17" customFormat="false" ht="15" hidden="false" customHeight="false" outlineLevel="0" collapsed="false">
      <c r="A17" s="10" t="s">
        <v>46</v>
      </c>
      <c r="B17" s="10" t="n">
        <f aca="false">SUMPRODUCT((COUNTIF(Campuses[Campus Key],Locations[Campus])=0)*1)</f>
        <v>0</v>
      </c>
      <c r="C17" s="10" t="n">
        <v>0</v>
      </c>
      <c r="D17" s="11" t="str">
        <f aca="false">IF(C17="info","—",IF(B17=C17,"OK","Check"))</f>
        <v>OK</v>
      </c>
    </row>
    <row r="18" customFormat="false" ht="15" hidden="false" customHeight="false" outlineLevel="0" collapsed="false">
      <c r="A18" s="10" t="s">
        <v>47</v>
      </c>
      <c r="B18" s="10" t="n">
        <f aca="false">SUMPRODUCT((COUNTIF(StoreTypes[Name],Locations[Store Location Type])=0)*1)</f>
        <v>0</v>
      </c>
      <c r="C18" s="10" t="n">
        <v>0</v>
      </c>
      <c r="D18" s="11" t="str">
        <f aca="false">IF(C18="info","—",IF(B18=C18,"OK","Check"))</f>
        <v>OK</v>
      </c>
    </row>
    <row r="19" customFormat="false" ht="15" hidden="false" customHeight="false" outlineLevel="0" collapsed="false">
      <c r="A19" s="10" t="s">
        <v>48</v>
      </c>
      <c r="B19" s="10" t="n">
        <f aca="false">COUNTIF(Locations[Store Location Type],"QSR")</f>
        <v>112</v>
      </c>
      <c r="C19" s="10" t="s">
        <v>35</v>
      </c>
      <c r="D19" s="11" t="str">
        <f aca="false">IF(C19="info","—",IF(B19=C19,"OK","Check"))</f>
        <v>—</v>
      </c>
    </row>
    <row r="20" customFormat="false" ht="15" hidden="false" customHeight="false" outlineLevel="0" collapsed="false">
      <c r="A20" s="10" t="s">
        <v>49</v>
      </c>
      <c r="B20" s="10" t="n">
        <f aca="false">COUNTIF(Locations[Store Location Type],"Vending")</f>
        <v>91</v>
      </c>
      <c r="C20" s="10" t="s">
        <v>35</v>
      </c>
      <c r="D20" s="11" t="str">
        <f aca="false">IF(C20="info","—",IF(B20=C20,"OK","Check"))</f>
        <v>—</v>
      </c>
    </row>
    <row r="21" customFormat="false" ht="15" hidden="false" customHeight="false" outlineLevel="0" collapsed="false">
      <c r="A21" s="10" t="s">
        <v>50</v>
      </c>
      <c r="B21" s="10" t="n">
        <f aca="false">COUNTIF(Locations[Store Location Type],"Student Bar")</f>
        <v>3</v>
      </c>
      <c r="C21" s="10" t="s">
        <v>35</v>
      </c>
      <c r="D21" s="11" t="str">
        <f aca="false">IF(C21="info","—",IF(B21=C21,"OK","Check"))</f>
        <v>—</v>
      </c>
    </row>
    <row r="22" customFormat="false" ht="15" hidden="false" customHeight="false" outlineLevel="0" collapsed="false">
      <c r="A22" s="10" t="s">
        <v>51</v>
      </c>
      <c r="B22" s="10" t="n">
        <f aca="false">COUNTIF(Locations[Store Location Type],"Convenience")</f>
        <v>0</v>
      </c>
      <c r="C22" s="10" t="s">
        <v>35</v>
      </c>
      <c r="D22" s="11" t="str">
        <f aca="false">IF(C22="info","—",IF(B22=C22,"OK","Check"))</f>
        <v>—</v>
      </c>
    </row>
    <row r="23" customFormat="false" ht="15" hidden="false" customHeight="false" outlineLevel="0" collapsed="false">
      <c r="A23" s="10" t="s">
        <v>52</v>
      </c>
      <c r="B23" s="10" t="n">
        <f aca="false">COUNTIF(Locations[Store Location Type],"NKA")</f>
        <v>9</v>
      </c>
      <c r="C23" s="10" t="s">
        <v>35</v>
      </c>
      <c r="D23" s="11" t="str">
        <f aca="false">IF(C23="info","—",IF(B23=C23,"OK","Check"))</f>
        <v>—</v>
      </c>
    </row>
    <row r="24" customFormat="false" ht="15" hidden="false" customHeight="false" outlineLevel="0" collapsed="false">
      <c r="A24" s="10" t="s">
        <v>53</v>
      </c>
      <c r="B24" s="10" t="n">
        <f aca="false">COUNTIF(Locations[Type Confirmed],"No")</f>
        <v>215</v>
      </c>
      <c r="C24" s="10" t="n">
        <v>0</v>
      </c>
      <c r="D24" s="11" t="str">
        <f aca="false">IF(C24="info","—",IF(B24=C24,"OK","Check"))</f>
        <v>Check</v>
      </c>
    </row>
    <row r="25" customFormat="false" ht="15" hidden="false" customHeight="false" outlineLevel="0" collapsed="false">
      <c r="A25" s="10" t="s">
        <v>54</v>
      </c>
      <c r="B25" s="10" t="n">
        <f aca="false">COUNTA(Visits[Visit ID])</f>
        <v>103</v>
      </c>
      <c r="C25" s="10" t="n">
        <v>103</v>
      </c>
      <c r="D25" s="11" t="str">
        <f aca="false">IF(C25="info","—",IF(B25=C25,"OK","Check"))</f>
        <v>OK</v>
      </c>
    </row>
    <row r="26" customFormat="false" ht="15" hidden="false" customHeight="false" outlineLevel="0" collapsed="false">
      <c r="A26" s="10" t="s">
        <v>55</v>
      </c>
      <c r="B26" s="10" t="n">
        <f aca="false">SUMPRODUCT((COUNTIF(Locations[Location ID],Visits[Location])=0)*1)</f>
        <v>0</v>
      </c>
      <c r="C26" s="10" t="n">
        <v>0</v>
      </c>
      <c r="D26" s="11" t="str">
        <f aca="false">IF(C26="info","—",IF(B26=C26,"OK","Check"))</f>
        <v>OK</v>
      </c>
    </row>
    <row r="27" customFormat="false" ht="15" hidden="false" customHeight="false" outlineLevel="0" collapsed="false">
      <c r="A27" s="10" t="s">
        <v>56</v>
      </c>
      <c r="B27" s="10" t="n">
        <f aca="false">SUM(Scoring[Weight Ranging],Scoring[Weight TDP],Scoring[Weight Editions],Scoring[Weight POS],Scoring[Weight Coolers])</f>
        <v>100</v>
      </c>
      <c r="C27" s="10" t="n">
        <v>100</v>
      </c>
      <c r="D27" s="11" t="str">
        <f aca="false">IF(C27="info","—",IF(B27=C27,"OK","Check"))</f>
        <v>OK</v>
      </c>
    </row>
  </sheetData>
  <conditionalFormatting sqref="D5:D27">
    <cfRule type="cellIs" priority="2" operator="equal" aboveAverage="0" equalAverage="0" bottom="0" percent="0" rank="0" text="" dxfId="0">
      <formula>"OK"</formula>
    </cfRule>
    <cfRule type="cellIs" priority="3" operator="equal" aboveAverage="0" equalAverage="0" bottom="0" percent="0" rank="0" text="" dxfId="1">
      <formula>"Check"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4" min="2" style="0" width="26"/>
    <col collapsed="false" customWidth="true" hidden="false" outlineLevel="0" max="5" min="5" style="0" width="30"/>
    <col collapsed="false" customWidth="true" hidden="false" outlineLevel="0" max="6" min="6" style="0" width="10"/>
    <col collapsed="false" customWidth="true" hidden="false" outlineLevel="0" max="7" min="7" style="0" width="28"/>
    <col collapsed="false" customWidth="true" hidden="false" outlineLevel="0" max="8" min="8" style="0" width="55"/>
  </cols>
  <sheetData>
    <row r="1" customFormat="false" ht="15" hidden="false" customHeight="false" outlineLevel="0" collapsed="false">
      <c r="A1" s="9" t="s">
        <v>57</v>
      </c>
      <c r="B1" s="9" t="s">
        <v>58</v>
      </c>
      <c r="C1" s="9" t="s">
        <v>59</v>
      </c>
      <c r="D1" s="9" t="s">
        <v>60</v>
      </c>
      <c r="E1" s="9" t="s">
        <v>61</v>
      </c>
      <c r="F1" s="9" t="s">
        <v>62</v>
      </c>
      <c r="G1" s="9" t="s">
        <v>63</v>
      </c>
      <c r="H1" s="9" t="s">
        <v>64</v>
      </c>
    </row>
    <row r="2" customFormat="false" ht="23.85" hidden="false" customHeight="false" outlineLevel="0" collapsed="false">
      <c r="A2" s="12" t="s">
        <v>65</v>
      </c>
      <c r="B2" s="12" t="s">
        <v>66</v>
      </c>
      <c r="C2" s="12" t="s">
        <v>67</v>
      </c>
      <c r="D2" s="12"/>
      <c r="E2" s="12"/>
      <c r="F2" s="12"/>
      <c r="G2" s="12"/>
      <c r="H2" s="12" t="s">
        <v>68</v>
      </c>
    </row>
    <row r="3" customFormat="false" ht="15" hidden="false" customHeight="false" outlineLevel="0" collapsed="false">
      <c r="A3" s="5" t="s">
        <v>65</v>
      </c>
      <c r="B3" s="5" t="s">
        <v>66</v>
      </c>
      <c r="C3" s="5" t="s">
        <v>69</v>
      </c>
      <c r="D3" s="5" t="s">
        <v>70</v>
      </c>
      <c r="E3" s="5" t="s">
        <v>71</v>
      </c>
      <c r="F3" s="5" t="s">
        <v>62</v>
      </c>
      <c r="G3" s="5"/>
      <c r="H3" s="5" t="s">
        <v>72</v>
      </c>
    </row>
    <row r="4" customFormat="false" ht="15" hidden="false" customHeight="false" outlineLevel="0" collapsed="false">
      <c r="A4" s="5" t="s">
        <v>65</v>
      </c>
      <c r="B4" s="5" t="s">
        <v>66</v>
      </c>
      <c r="C4" s="5" t="s">
        <v>73</v>
      </c>
      <c r="D4" s="5" t="s">
        <v>74</v>
      </c>
      <c r="E4" s="5" t="s">
        <v>75</v>
      </c>
      <c r="F4" s="5" t="s">
        <v>62</v>
      </c>
      <c r="G4" s="5"/>
      <c r="H4" s="5"/>
    </row>
    <row r="5" customFormat="false" ht="15" hidden="false" customHeight="false" outlineLevel="0" collapsed="false">
      <c r="A5" s="12" t="s">
        <v>76</v>
      </c>
      <c r="B5" s="12" t="s">
        <v>77</v>
      </c>
      <c r="C5" s="12" t="s">
        <v>67</v>
      </c>
      <c r="D5" s="12"/>
      <c r="E5" s="12"/>
      <c r="F5" s="12"/>
      <c r="G5" s="12"/>
      <c r="H5" s="12" t="s">
        <v>78</v>
      </c>
    </row>
    <row r="6" customFormat="false" ht="15" hidden="false" customHeight="false" outlineLevel="0" collapsed="false">
      <c r="A6" s="5" t="s">
        <v>76</v>
      </c>
      <c r="B6" s="5" t="s">
        <v>77</v>
      </c>
      <c r="C6" s="5" t="s">
        <v>79</v>
      </c>
      <c r="D6" s="5" t="s">
        <v>70</v>
      </c>
      <c r="E6" s="5" t="s">
        <v>80</v>
      </c>
      <c r="F6" s="5" t="s">
        <v>62</v>
      </c>
      <c r="G6" s="5"/>
      <c r="H6" s="5" t="s">
        <v>81</v>
      </c>
    </row>
    <row r="7" customFormat="false" ht="15" hidden="false" customHeight="false" outlineLevel="0" collapsed="false">
      <c r="A7" s="5" t="s">
        <v>76</v>
      </c>
      <c r="B7" s="5" t="s">
        <v>77</v>
      </c>
      <c r="C7" s="5" t="s">
        <v>82</v>
      </c>
      <c r="D7" s="5" t="s">
        <v>83</v>
      </c>
      <c r="E7" s="5" t="s">
        <v>84</v>
      </c>
      <c r="F7" s="5" t="s">
        <v>62</v>
      </c>
      <c r="G7" s="5" t="s">
        <v>85</v>
      </c>
      <c r="H7" s="5" t="s">
        <v>86</v>
      </c>
    </row>
    <row r="8" customFormat="false" ht="15" hidden="false" customHeight="false" outlineLevel="0" collapsed="false">
      <c r="A8" s="5" t="s">
        <v>76</v>
      </c>
      <c r="B8" s="5" t="s">
        <v>77</v>
      </c>
      <c r="C8" s="5" t="s">
        <v>87</v>
      </c>
      <c r="D8" s="5" t="s">
        <v>88</v>
      </c>
      <c r="E8" s="5" t="s">
        <v>84</v>
      </c>
      <c r="F8" s="5" t="s">
        <v>62</v>
      </c>
      <c r="G8" s="5" t="s">
        <v>89</v>
      </c>
      <c r="H8" s="5" t="s">
        <v>90</v>
      </c>
    </row>
    <row r="9" customFormat="false" ht="15" hidden="false" customHeight="false" outlineLevel="0" collapsed="false">
      <c r="A9" s="5" t="s">
        <v>76</v>
      </c>
      <c r="B9" s="5" t="s">
        <v>77</v>
      </c>
      <c r="C9" s="5" t="s">
        <v>91</v>
      </c>
      <c r="D9" s="5" t="s">
        <v>92</v>
      </c>
      <c r="E9" s="5" t="s">
        <v>93</v>
      </c>
      <c r="F9" s="5" t="s">
        <v>94</v>
      </c>
      <c r="G9" s="5"/>
      <c r="H9" s="5"/>
    </row>
    <row r="10" customFormat="false" ht="23.85" hidden="false" customHeight="false" outlineLevel="0" collapsed="false">
      <c r="A10" s="12" t="s">
        <v>95</v>
      </c>
      <c r="B10" s="12" t="s">
        <v>96</v>
      </c>
      <c r="C10" s="12" t="s">
        <v>67</v>
      </c>
      <c r="D10" s="12"/>
      <c r="E10" s="12"/>
      <c r="F10" s="12"/>
      <c r="G10" s="12"/>
      <c r="H10" s="12" t="s">
        <v>97</v>
      </c>
    </row>
    <row r="11" customFormat="false" ht="15" hidden="false" customHeight="false" outlineLevel="0" collapsed="false">
      <c r="A11" s="5" t="s">
        <v>95</v>
      </c>
      <c r="B11" s="5" t="s">
        <v>96</v>
      </c>
      <c r="C11" s="5" t="s">
        <v>98</v>
      </c>
      <c r="D11" s="5" t="s">
        <v>70</v>
      </c>
      <c r="E11" s="5" t="s">
        <v>99</v>
      </c>
      <c r="F11" s="5" t="s">
        <v>62</v>
      </c>
      <c r="G11" s="5"/>
      <c r="H11" s="5" t="s">
        <v>100</v>
      </c>
    </row>
    <row r="12" customFormat="false" ht="15" hidden="false" customHeight="false" outlineLevel="0" collapsed="false">
      <c r="A12" s="5" t="s">
        <v>95</v>
      </c>
      <c r="B12" s="5" t="s">
        <v>96</v>
      </c>
      <c r="C12" s="5" t="s">
        <v>101</v>
      </c>
      <c r="D12" s="5" t="s">
        <v>102</v>
      </c>
      <c r="E12" s="5" t="s">
        <v>75</v>
      </c>
      <c r="F12" s="5" t="s">
        <v>62</v>
      </c>
      <c r="G12" s="5"/>
      <c r="H12" s="5"/>
    </row>
    <row r="13" customFormat="false" ht="15" hidden="false" customHeight="false" outlineLevel="0" collapsed="false">
      <c r="A13" s="5" t="s">
        <v>95</v>
      </c>
      <c r="B13" s="5" t="s">
        <v>96</v>
      </c>
      <c r="C13" s="5" t="s">
        <v>103</v>
      </c>
      <c r="D13" s="5" t="s">
        <v>104</v>
      </c>
      <c r="E13" s="5" t="s">
        <v>75</v>
      </c>
      <c r="F13" s="5" t="s">
        <v>62</v>
      </c>
      <c r="G13" s="5"/>
      <c r="H13" s="5"/>
    </row>
    <row r="14" customFormat="false" ht="23.85" hidden="false" customHeight="false" outlineLevel="0" collapsed="false">
      <c r="A14" s="5" t="s">
        <v>95</v>
      </c>
      <c r="B14" s="5" t="s">
        <v>96</v>
      </c>
      <c r="C14" s="5" t="s">
        <v>105</v>
      </c>
      <c r="D14" s="5" t="s">
        <v>106</v>
      </c>
      <c r="E14" s="5" t="s">
        <v>107</v>
      </c>
      <c r="F14" s="5" t="s">
        <v>94</v>
      </c>
      <c r="G14" s="5" t="s">
        <v>108</v>
      </c>
      <c r="H14" s="5" t="s">
        <v>109</v>
      </c>
    </row>
    <row r="15" customFormat="false" ht="15" hidden="false" customHeight="false" outlineLevel="0" collapsed="false">
      <c r="A15" s="5" t="s">
        <v>95</v>
      </c>
      <c r="B15" s="5" t="s">
        <v>96</v>
      </c>
      <c r="C15" s="5" t="s">
        <v>110</v>
      </c>
      <c r="D15" s="5" t="s">
        <v>111</v>
      </c>
      <c r="E15" s="5" t="s">
        <v>112</v>
      </c>
      <c r="F15" s="5" t="s">
        <v>94</v>
      </c>
      <c r="G15" s="5"/>
      <c r="H15" s="5" t="s">
        <v>113</v>
      </c>
    </row>
    <row r="16" customFormat="false" ht="15" hidden="false" customHeight="false" outlineLevel="0" collapsed="false">
      <c r="A16" s="5" t="s">
        <v>95</v>
      </c>
      <c r="B16" s="5" t="s">
        <v>96</v>
      </c>
      <c r="C16" s="5" t="s">
        <v>114</v>
      </c>
      <c r="D16" s="5" t="s">
        <v>115</v>
      </c>
      <c r="E16" s="5" t="s">
        <v>75</v>
      </c>
      <c r="F16" s="5" t="s">
        <v>94</v>
      </c>
      <c r="G16" s="5"/>
      <c r="H16" s="5" t="s">
        <v>116</v>
      </c>
    </row>
    <row r="17" customFormat="false" ht="15" hidden="false" customHeight="false" outlineLevel="0" collapsed="false">
      <c r="A17" s="5" t="s">
        <v>95</v>
      </c>
      <c r="B17" s="5" t="s">
        <v>96</v>
      </c>
      <c r="C17" s="5" t="s">
        <v>117</v>
      </c>
      <c r="D17" s="5" t="s">
        <v>118</v>
      </c>
      <c r="E17" s="5" t="s">
        <v>119</v>
      </c>
      <c r="F17" s="5" t="s">
        <v>62</v>
      </c>
      <c r="G17" s="5"/>
      <c r="H17" s="5"/>
    </row>
    <row r="18" customFormat="false" ht="15" hidden="false" customHeight="false" outlineLevel="0" collapsed="false">
      <c r="A18" s="5" t="s">
        <v>95</v>
      </c>
      <c r="B18" s="5" t="s">
        <v>96</v>
      </c>
      <c r="C18" s="5" t="s">
        <v>65</v>
      </c>
      <c r="D18" s="5" t="s">
        <v>66</v>
      </c>
      <c r="E18" s="5" t="s">
        <v>120</v>
      </c>
      <c r="F18" s="5" t="s">
        <v>94</v>
      </c>
      <c r="G18" s="5"/>
      <c r="H18" s="5" t="s">
        <v>121</v>
      </c>
    </row>
    <row r="19" customFormat="false" ht="15" hidden="false" customHeight="false" outlineLevel="0" collapsed="false">
      <c r="A19" s="5" t="s">
        <v>95</v>
      </c>
      <c r="B19" s="5" t="s">
        <v>96</v>
      </c>
      <c r="C19" s="5" t="s">
        <v>122</v>
      </c>
      <c r="D19" s="5" t="s">
        <v>123</v>
      </c>
      <c r="E19" s="5" t="s">
        <v>124</v>
      </c>
      <c r="F19" s="5" t="s">
        <v>94</v>
      </c>
      <c r="G19" s="5"/>
      <c r="H19" s="5" t="s">
        <v>125</v>
      </c>
    </row>
    <row r="20" customFormat="false" ht="15" hidden="false" customHeight="false" outlineLevel="0" collapsed="false">
      <c r="A20" s="5" t="s">
        <v>95</v>
      </c>
      <c r="B20" s="5" t="s">
        <v>96</v>
      </c>
      <c r="C20" s="5" t="s">
        <v>126</v>
      </c>
      <c r="D20" s="5" t="s">
        <v>127</v>
      </c>
      <c r="E20" s="5" t="s">
        <v>128</v>
      </c>
      <c r="F20" s="5" t="s">
        <v>62</v>
      </c>
      <c r="G20" s="5" t="s">
        <v>129</v>
      </c>
      <c r="H20" s="5"/>
    </row>
    <row r="21" customFormat="false" ht="15" hidden="false" customHeight="false" outlineLevel="0" collapsed="false">
      <c r="A21" s="5" t="s">
        <v>95</v>
      </c>
      <c r="B21" s="5" t="s">
        <v>96</v>
      </c>
      <c r="C21" s="5" t="s">
        <v>130</v>
      </c>
      <c r="D21" s="5" t="s">
        <v>131</v>
      </c>
      <c r="E21" s="5" t="s">
        <v>132</v>
      </c>
      <c r="F21" s="5" t="s">
        <v>94</v>
      </c>
      <c r="G21" s="5"/>
      <c r="H21" s="5" t="s">
        <v>133</v>
      </c>
    </row>
    <row r="22" customFormat="false" ht="15" hidden="false" customHeight="false" outlineLevel="0" collapsed="false">
      <c r="A22" s="5" t="s">
        <v>95</v>
      </c>
      <c r="B22" s="5" t="s">
        <v>96</v>
      </c>
      <c r="C22" s="5" t="s">
        <v>134</v>
      </c>
      <c r="D22" s="5" t="s">
        <v>135</v>
      </c>
      <c r="E22" s="5" t="s">
        <v>136</v>
      </c>
      <c r="F22" s="5" t="s">
        <v>94</v>
      </c>
      <c r="G22" s="5"/>
      <c r="H22" s="5" t="s">
        <v>137</v>
      </c>
    </row>
    <row r="23" customFormat="false" ht="15" hidden="false" customHeight="false" outlineLevel="0" collapsed="false">
      <c r="A23" s="5" t="s">
        <v>95</v>
      </c>
      <c r="B23" s="5" t="s">
        <v>96</v>
      </c>
      <c r="C23" s="5" t="s">
        <v>138</v>
      </c>
      <c r="D23" s="5" t="s">
        <v>139</v>
      </c>
      <c r="E23" s="5" t="s">
        <v>140</v>
      </c>
      <c r="F23" s="5" t="s">
        <v>94</v>
      </c>
      <c r="G23" s="5"/>
      <c r="H23" s="5"/>
    </row>
    <row r="24" customFormat="false" ht="23.85" hidden="false" customHeight="false" outlineLevel="0" collapsed="false">
      <c r="A24" s="12" t="s">
        <v>141</v>
      </c>
      <c r="B24" s="12" t="s">
        <v>142</v>
      </c>
      <c r="C24" s="12" t="s">
        <v>67</v>
      </c>
      <c r="D24" s="12"/>
      <c r="E24" s="12"/>
      <c r="F24" s="12"/>
      <c r="G24" s="12"/>
      <c r="H24" s="12" t="s">
        <v>143</v>
      </c>
    </row>
    <row r="25" customFormat="false" ht="15" hidden="false" customHeight="false" outlineLevel="0" collapsed="false">
      <c r="A25" s="5" t="s">
        <v>141</v>
      </c>
      <c r="B25" s="5" t="s">
        <v>142</v>
      </c>
      <c r="C25" s="5" t="s">
        <v>79</v>
      </c>
      <c r="D25" s="5" t="s">
        <v>70</v>
      </c>
      <c r="E25" s="5" t="s">
        <v>99</v>
      </c>
      <c r="F25" s="5" t="s">
        <v>62</v>
      </c>
      <c r="G25" s="5"/>
      <c r="H25" s="5" t="s">
        <v>144</v>
      </c>
    </row>
    <row r="26" customFormat="false" ht="15" hidden="false" customHeight="false" outlineLevel="0" collapsed="false">
      <c r="A26" s="5" t="s">
        <v>141</v>
      </c>
      <c r="B26" s="5" t="s">
        <v>142</v>
      </c>
      <c r="C26" s="5" t="s">
        <v>145</v>
      </c>
      <c r="D26" s="5" t="s">
        <v>146</v>
      </c>
      <c r="E26" s="5" t="s">
        <v>124</v>
      </c>
      <c r="F26" s="5" t="s">
        <v>62</v>
      </c>
      <c r="G26" s="5"/>
      <c r="H26" s="5"/>
    </row>
    <row r="27" customFormat="false" ht="15" hidden="false" customHeight="false" outlineLevel="0" collapsed="false">
      <c r="A27" s="5" t="s">
        <v>141</v>
      </c>
      <c r="B27" s="5" t="s">
        <v>142</v>
      </c>
      <c r="C27" s="5" t="s">
        <v>65</v>
      </c>
      <c r="D27" s="5" t="s">
        <v>66</v>
      </c>
      <c r="E27" s="5" t="s">
        <v>120</v>
      </c>
      <c r="F27" s="5" t="s">
        <v>62</v>
      </c>
      <c r="G27" s="5"/>
      <c r="H27" s="5"/>
    </row>
    <row r="28" customFormat="false" ht="15" hidden="false" customHeight="false" outlineLevel="0" collapsed="false">
      <c r="A28" s="12" t="s">
        <v>147</v>
      </c>
      <c r="B28" s="12" t="s">
        <v>148</v>
      </c>
      <c r="C28" s="12" t="s">
        <v>67</v>
      </c>
      <c r="D28" s="12"/>
      <c r="E28" s="12"/>
      <c r="F28" s="12"/>
      <c r="G28" s="12"/>
      <c r="H28" s="12" t="s">
        <v>149</v>
      </c>
    </row>
    <row r="29" customFormat="false" ht="15" hidden="false" customHeight="false" outlineLevel="0" collapsed="false">
      <c r="A29" s="5" t="s">
        <v>147</v>
      </c>
      <c r="B29" s="5" t="s">
        <v>148</v>
      </c>
      <c r="C29" s="5" t="s">
        <v>150</v>
      </c>
      <c r="D29" s="5" t="s">
        <v>70</v>
      </c>
      <c r="E29" s="5" t="s">
        <v>71</v>
      </c>
      <c r="F29" s="5" t="s">
        <v>62</v>
      </c>
      <c r="G29" s="5"/>
      <c r="H29" s="5" t="s">
        <v>151</v>
      </c>
    </row>
    <row r="30" customFormat="false" ht="15" hidden="false" customHeight="false" outlineLevel="0" collapsed="false">
      <c r="A30" s="5" t="s">
        <v>147</v>
      </c>
      <c r="B30" s="5" t="s">
        <v>148</v>
      </c>
      <c r="C30" s="5" t="s">
        <v>152</v>
      </c>
      <c r="D30" s="5" t="s">
        <v>153</v>
      </c>
      <c r="E30" s="5" t="s">
        <v>107</v>
      </c>
      <c r="F30" s="5" t="s">
        <v>62</v>
      </c>
      <c r="G30" s="5"/>
      <c r="H30" s="5"/>
    </row>
    <row r="31" customFormat="false" ht="15" hidden="false" customHeight="false" outlineLevel="0" collapsed="false">
      <c r="A31" s="5" t="s">
        <v>147</v>
      </c>
      <c r="B31" s="5" t="s">
        <v>148</v>
      </c>
      <c r="C31" s="5" t="s">
        <v>154</v>
      </c>
      <c r="D31" s="5" t="s">
        <v>155</v>
      </c>
      <c r="E31" s="5" t="s">
        <v>156</v>
      </c>
      <c r="F31" s="5" t="s">
        <v>94</v>
      </c>
      <c r="G31" s="5"/>
      <c r="H31" s="5"/>
    </row>
    <row r="32" customFormat="false" ht="15" hidden="false" customHeight="false" outlineLevel="0" collapsed="false">
      <c r="A32" s="5" t="s">
        <v>147</v>
      </c>
      <c r="B32" s="5" t="s">
        <v>148</v>
      </c>
      <c r="C32" s="5" t="s">
        <v>157</v>
      </c>
      <c r="D32" s="5" t="s">
        <v>158</v>
      </c>
      <c r="E32" s="5" t="s">
        <v>159</v>
      </c>
      <c r="F32" s="5" t="s">
        <v>62</v>
      </c>
      <c r="G32" s="5"/>
      <c r="H32" s="5"/>
    </row>
    <row r="33" customFormat="false" ht="15" hidden="false" customHeight="false" outlineLevel="0" collapsed="false">
      <c r="A33" s="5" t="s">
        <v>147</v>
      </c>
      <c r="B33" s="5" t="s">
        <v>148</v>
      </c>
      <c r="C33" s="5" t="s">
        <v>65</v>
      </c>
      <c r="D33" s="5" t="s">
        <v>66</v>
      </c>
      <c r="E33" s="5" t="s">
        <v>120</v>
      </c>
      <c r="F33" s="5" t="s">
        <v>62</v>
      </c>
      <c r="G33" s="5"/>
      <c r="H33" s="5"/>
    </row>
    <row r="34" customFormat="false" ht="15" hidden="false" customHeight="false" outlineLevel="0" collapsed="false">
      <c r="A34" s="5" t="s">
        <v>147</v>
      </c>
      <c r="B34" s="5" t="s">
        <v>148</v>
      </c>
      <c r="C34" s="5" t="s">
        <v>126</v>
      </c>
      <c r="D34" s="5" t="s">
        <v>127</v>
      </c>
      <c r="E34" s="5" t="s">
        <v>160</v>
      </c>
      <c r="F34" s="5" t="s">
        <v>62</v>
      </c>
      <c r="G34" s="5" t="s">
        <v>129</v>
      </c>
      <c r="H34" s="5"/>
    </row>
    <row r="35" customFormat="false" ht="15" hidden="false" customHeight="false" outlineLevel="0" collapsed="false">
      <c r="A35" s="5" t="s">
        <v>147</v>
      </c>
      <c r="B35" s="5" t="s">
        <v>148</v>
      </c>
      <c r="C35" s="5" t="s">
        <v>161</v>
      </c>
      <c r="D35" s="5" t="s">
        <v>162</v>
      </c>
      <c r="E35" s="5" t="s">
        <v>112</v>
      </c>
      <c r="F35" s="5" t="s">
        <v>94</v>
      </c>
      <c r="G35" s="5"/>
      <c r="H35" s="5"/>
    </row>
    <row r="36" customFormat="false" ht="23.85" hidden="false" customHeight="false" outlineLevel="0" collapsed="false">
      <c r="A36" s="5" t="s">
        <v>147</v>
      </c>
      <c r="B36" s="5" t="s">
        <v>148</v>
      </c>
      <c r="C36" s="5" t="s">
        <v>163</v>
      </c>
      <c r="D36" s="5" t="s">
        <v>164</v>
      </c>
      <c r="E36" s="5" t="s">
        <v>165</v>
      </c>
      <c r="F36" s="5" t="s">
        <v>94</v>
      </c>
      <c r="G36" s="5"/>
      <c r="H36" s="5" t="s">
        <v>166</v>
      </c>
    </row>
    <row r="37" customFormat="false" ht="15" hidden="false" customHeight="false" outlineLevel="0" collapsed="false">
      <c r="A37" s="12" t="s">
        <v>167</v>
      </c>
      <c r="B37" s="12" t="s">
        <v>168</v>
      </c>
      <c r="C37" s="12" t="s">
        <v>67</v>
      </c>
      <c r="D37" s="12"/>
      <c r="E37" s="12"/>
      <c r="F37" s="12"/>
      <c r="G37" s="12"/>
      <c r="H37" s="12"/>
    </row>
    <row r="38" customFormat="false" ht="23.85" hidden="false" customHeight="false" outlineLevel="0" collapsed="false">
      <c r="A38" s="5" t="s">
        <v>167</v>
      </c>
      <c r="B38" s="5" t="s">
        <v>168</v>
      </c>
      <c r="C38" s="5" t="s">
        <v>169</v>
      </c>
      <c r="D38" s="5" t="s">
        <v>70</v>
      </c>
      <c r="E38" s="5" t="s">
        <v>170</v>
      </c>
      <c r="F38" s="5" t="s">
        <v>62</v>
      </c>
      <c r="G38" s="5"/>
      <c r="H38" s="5" t="s">
        <v>171</v>
      </c>
    </row>
    <row r="39" customFormat="false" ht="15" hidden="false" customHeight="false" outlineLevel="0" collapsed="false">
      <c r="A39" s="5" t="s">
        <v>167</v>
      </c>
      <c r="B39" s="5" t="s">
        <v>168</v>
      </c>
      <c r="C39" s="5" t="s">
        <v>172</v>
      </c>
      <c r="D39" s="5" t="s">
        <v>173</v>
      </c>
      <c r="E39" s="5" t="s">
        <v>75</v>
      </c>
      <c r="F39" s="5" t="s">
        <v>62</v>
      </c>
      <c r="G39" s="5"/>
      <c r="H39" s="5"/>
    </row>
    <row r="40" customFormat="false" ht="15" hidden="false" customHeight="false" outlineLevel="0" collapsed="false">
      <c r="A40" s="5" t="s">
        <v>167</v>
      </c>
      <c r="B40" s="5" t="s">
        <v>168</v>
      </c>
      <c r="C40" s="5" t="s">
        <v>147</v>
      </c>
      <c r="D40" s="5" t="s">
        <v>148</v>
      </c>
      <c r="E40" s="5" t="s">
        <v>174</v>
      </c>
      <c r="F40" s="5" t="s">
        <v>62</v>
      </c>
      <c r="G40" s="5"/>
      <c r="H40" s="5"/>
    </row>
    <row r="41" customFormat="false" ht="15" hidden="false" customHeight="false" outlineLevel="0" collapsed="false">
      <c r="A41" s="12" t="s">
        <v>175</v>
      </c>
      <c r="B41" s="12" t="s">
        <v>176</v>
      </c>
      <c r="C41" s="12" t="s">
        <v>67</v>
      </c>
      <c r="D41" s="12"/>
      <c r="E41" s="12"/>
      <c r="F41" s="12"/>
      <c r="G41" s="12"/>
      <c r="H41" s="12" t="s">
        <v>177</v>
      </c>
    </row>
    <row r="42" customFormat="false" ht="15" hidden="false" customHeight="false" outlineLevel="0" collapsed="false">
      <c r="A42" s="5" t="s">
        <v>175</v>
      </c>
      <c r="B42" s="5" t="s">
        <v>176</v>
      </c>
      <c r="C42" s="5" t="s">
        <v>178</v>
      </c>
      <c r="D42" s="5" t="s">
        <v>70</v>
      </c>
      <c r="E42" s="5" t="s">
        <v>179</v>
      </c>
      <c r="F42" s="5" t="s">
        <v>62</v>
      </c>
      <c r="G42" s="5" t="s">
        <v>180</v>
      </c>
      <c r="H42" s="5" t="s">
        <v>181</v>
      </c>
    </row>
    <row r="43" customFormat="false" ht="15" hidden="false" customHeight="false" outlineLevel="0" collapsed="false">
      <c r="A43" s="5" t="s">
        <v>175</v>
      </c>
      <c r="B43" s="5" t="s">
        <v>176</v>
      </c>
      <c r="C43" s="5" t="s">
        <v>182</v>
      </c>
      <c r="D43" s="5" t="s">
        <v>183</v>
      </c>
      <c r="E43" s="5" t="s">
        <v>107</v>
      </c>
      <c r="F43" s="5" t="s">
        <v>62</v>
      </c>
      <c r="G43" s="5"/>
      <c r="H43" s="5"/>
    </row>
    <row r="44" customFormat="false" ht="15" hidden="false" customHeight="false" outlineLevel="0" collapsed="false">
      <c r="A44" s="5" t="s">
        <v>175</v>
      </c>
      <c r="B44" s="5" t="s">
        <v>176</v>
      </c>
      <c r="C44" s="5" t="s">
        <v>147</v>
      </c>
      <c r="D44" s="5" t="s">
        <v>148</v>
      </c>
      <c r="E44" s="5" t="s">
        <v>174</v>
      </c>
      <c r="F44" s="5" t="s">
        <v>62</v>
      </c>
      <c r="G44" s="5"/>
      <c r="H44" s="5"/>
    </row>
    <row r="45" customFormat="false" ht="15" hidden="false" customHeight="false" outlineLevel="0" collapsed="false">
      <c r="A45" s="5" t="s">
        <v>175</v>
      </c>
      <c r="B45" s="5" t="s">
        <v>176</v>
      </c>
      <c r="C45" s="5" t="s">
        <v>167</v>
      </c>
      <c r="D45" s="5" t="s">
        <v>168</v>
      </c>
      <c r="E45" s="5" t="s">
        <v>184</v>
      </c>
      <c r="F45" s="5" t="s">
        <v>62</v>
      </c>
      <c r="G45" s="5"/>
      <c r="H45" s="5"/>
    </row>
    <row r="46" customFormat="false" ht="15" hidden="false" customHeight="false" outlineLevel="0" collapsed="false">
      <c r="A46" s="5" t="s">
        <v>175</v>
      </c>
      <c r="B46" s="5" t="s">
        <v>176</v>
      </c>
      <c r="C46" s="5" t="s">
        <v>76</v>
      </c>
      <c r="D46" s="5" t="s">
        <v>77</v>
      </c>
      <c r="E46" s="5" t="s">
        <v>185</v>
      </c>
      <c r="F46" s="5" t="s">
        <v>62</v>
      </c>
      <c r="G46" s="5"/>
      <c r="H46" s="5"/>
    </row>
    <row r="47" customFormat="false" ht="15" hidden="false" customHeight="false" outlineLevel="0" collapsed="false">
      <c r="A47" s="5" t="s">
        <v>175</v>
      </c>
      <c r="B47" s="5" t="s">
        <v>176</v>
      </c>
      <c r="C47" s="5" t="s">
        <v>186</v>
      </c>
      <c r="D47" s="5" t="s">
        <v>187</v>
      </c>
      <c r="E47" s="5" t="s">
        <v>84</v>
      </c>
      <c r="F47" s="5" t="s">
        <v>62</v>
      </c>
      <c r="G47" s="5" t="s">
        <v>89</v>
      </c>
      <c r="H47" s="5" t="s">
        <v>188</v>
      </c>
    </row>
    <row r="48" customFormat="false" ht="15" hidden="false" customHeight="false" outlineLevel="0" collapsed="false">
      <c r="A48" s="5" t="s">
        <v>175</v>
      </c>
      <c r="B48" s="5" t="s">
        <v>176</v>
      </c>
      <c r="C48" s="5" t="s">
        <v>126</v>
      </c>
      <c r="D48" s="5" t="s">
        <v>127</v>
      </c>
      <c r="E48" s="5" t="s">
        <v>189</v>
      </c>
      <c r="F48" s="5" t="s">
        <v>62</v>
      </c>
      <c r="G48" s="5" t="s">
        <v>129</v>
      </c>
      <c r="H48" s="5"/>
    </row>
    <row r="49" customFormat="false" ht="15" hidden="false" customHeight="false" outlineLevel="0" collapsed="false">
      <c r="A49" s="5" t="s">
        <v>175</v>
      </c>
      <c r="B49" s="5" t="s">
        <v>176</v>
      </c>
      <c r="C49" s="5" t="s">
        <v>190</v>
      </c>
      <c r="D49" s="5" t="s">
        <v>191</v>
      </c>
      <c r="E49" s="5" t="s">
        <v>192</v>
      </c>
      <c r="F49" s="5" t="s">
        <v>62</v>
      </c>
      <c r="G49" s="5"/>
      <c r="H49" s="5"/>
    </row>
    <row r="50" customFormat="false" ht="15" hidden="false" customHeight="false" outlineLevel="0" collapsed="false">
      <c r="A50" s="5" t="s">
        <v>175</v>
      </c>
      <c r="B50" s="5" t="s">
        <v>176</v>
      </c>
      <c r="C50" s="5" t="s">
        <v>193</v>
      </c>
      <c r="D50" s="5" t="s">
        <v>194</v>
      </c>
      <c r="E50" s="5" t="s">
        <v>195</v>
      </c>
      <c r="F50" s="5" t="s">
        <v>62</v>
      </c>
      <c r="G50" s="5" t="s">
        <v>196</v>
      </c>
      <c r="H50" s="5"/>
    </row>
    <row r="51" customFormat="false" ht="15" hidden="false" customHeight="false" outlineLevel="0" collapsed="false">
      <c r="A51" s="5" t="s">
        <v>175</v>
      </c>
      <c r="B51" s="5" t="s">
        <v>176</v>
      </c>
      <c r="C51" s="5" t="s">
        <v>197</v>
      </c>
      <c r="D51" s="5" t="s">
        <v>198</v>
      </c>
      <c r="E51" s="5" t="s">
        <v>199</v>
      </c>
      <c r="F51" s="5" t="s">
        <v>94</v>
      </c>
      <c r="G51" s="5"/>
      <c r="H51" s="5"/>
    </row>
    <row r="52" customFormat="false" ht="15" hidden="false" customHeight="false" outlineLevel="0" collapsed="false">
      <c r="A52" s="5" t="s">
        <v>175</v>
      </c>
      <c r="B52" s="5" t="s">
        <v>176</v>
      </c>
      <c r="C52" s="5" t="s">
        <v>200</v>
      </c>
      <c r="D52" s="5" t="s">
        <v>201</v>
      </c>
      <c r="E52" s="5" t="s">
        <v>202</v>
      </c>
      <c r="F52" s="5" t="s">
        <v>94</v>
      </c>
      <c r="G52" s="5"/>
      <c r="H52" s="5"/>
    </row>
    <row r="53" customFormat="false" ht="15" hidden="false" customHeight="false" outlineLevel="0" collapsed="false">
      <c r="A53" s="5" t="s">
        <v>175</v>
      </c>
      <c r="B53" s="5" t="s">
        <v>176</v>
      </c>
      <c r="C53" s="5" t="s">
        <v>203</v>
      </c>
      <c r="D53" s="5" t="s">
        <v>204</v>
      </c>
      <c r="E53" s="5" t="s">
        <v>107</v>
      </c>
      <c r="F53" s="5" t="s">
        <v>94</v>
      </c>
      <c r="G53" s="5"/>
      <c r="H53" s="5"/>
    </row>
    <row r="54" customFormat="false" ht="15" hidden="false" customHeight="false" outlineLevel="0" collapsed="false">
      <c r="A54" s="5" t="s">
        <v>175</v>
      </c>
      <c r="B54" s="5" t="s">
        <v>176</v>
      </c>
      <c r="C54" s="5" t="s">
        <v>205</v>
      </c>
      <c r="D54" s="5" t="s">
        <v>206</v>
      </c>
      <c r="E54" s="5" t="s">
        <v>75</v>
      </c>
      <c r="F54" s="5" t="s">
        <v>94</v>
      </c>
      <c r="G54" s="5"/>
      <c r="H54" s="5"/>
    </row>
    <row r="55" customFormat="false" ht="15" hidden="false" customHeight="false" outlineLevel="0" collapsed="false">
      <c r="A55" s="5" t="s">
        <v>175</v>
      </c>
      <c r="B55" s="5" t="s">
        <v>176</v>
      </c>
      <c r="C55" s="5" t="s">
        <v>207</v>
      </c>
      <c r="D55" s="5" t="s">
        <v>208</v>
      </c>
      <c r="E55" s="5" t="s">
        <v>209</v>
      </c>
      <c r="F55" s="5" t="s">
        <v>94</v>
      </c>
      <c r="G55" s="5"/>
      <c r="H55" s="5"/>
    </row>
    <row r="56" customFormat="false" ht="23.85" hidden="false" customHeight="false" outlineLevel="0" collapsed="false">
      <c r="A56" s="5" t="s">
        <v>175</v>
      </c>
      <c r="B56" s="5" t="s">
        <v>176</v>
      </c>
      <c r="C56" s="5" t="s">
        <v>210</v>
      </c>
      <c r="D56" s="5" t="s">
        <v>211</v>
      </c>
      <c r="E56" s="5" t="s">
        <v>212</v>
      </c>
      <c r="F56" s="5" t="s">
        <v>94</v>
      </c>
      <c r="G56" s="5"/>
      <c r="H56" s="5" t="s">
        <v>213</v>
      </c>
    </row>
    <row r="57" customFormat="false" ht="23.85" hidden="false" customHeight="false" outlineLevel="0" collapsed="false">
      <c r="A57" s="5" t="s">
        <v>175</v>
      </c>
      <c r="B57" s="5" t="s">
        <v>176</v>
      </c>
      <c r="C57" s="5" t="s">
        <v>214</v>
      </c>
      <c r="D57" s="5" t="s">
        <v>215</v>
      </c>
      <c r="E57" s="5" t="s">
        <v>212</v>
      </c>
      <c r="F57" s="5" t="s">
        <v>94</v>
      </c>
      <c r="G57" s="5"/>
      <c r="H57" s="5" t="s">
        <v>213</v>
      </c>
    </row>
    <row r="58" customFormat="false" ht="23.85" hidden="false" customHeight="false" outlineLevel="0" collapsed="false">
      <c r="A58" s="5" t="s">
        <v>175</v>
      </c>
      <c r="B58" s="5" t="s">
        <v>176</v>
      </c>
      <c r="C58" s="5" t="s">
        <v>216</v>
      </c>
      <c r="D58" s="5" t="s">
        <v>217</v>
      </c>
      <c r="E58" s="5" t="s">
        <v>212</v>
      </c>
      <c r="F58" s="5" t="s">
        <v>94</v>
      </c>
      <c r="G58" s="5"/>
      <c r="H58" s="5" t="s">
        <v>213</v>
      </c>
    </row>
    <row r="59" customFormat="false" ht="23.85" hidden="false" customHeight="false" outlineLevel="0" collapsed="false">
      <c r="A59" s="5" t="s">
        <v>175</v>
      </c>
      <c r="B59" s="5" t="s">
        <v>176</v>
      </c>
      <c r="C59" s="5" t="s">
        <v>218</v>
      </c>
      <c r="D59" s="5" t="s">
        <v>219</v>
      </c>
      <c r="E59" s="5" t="s">
        <v>212</v>
      </c>
      <c r="F59" s="5" t="s">
        <v>94</v>
      </c>
      <c r="G59" s="5"/>
      <c r="H59" s="5" t="s">
        <v>213</v>
      </c>
    </row>
    <row r="60" customFormat="false" ht="23.85" hidden="false" customHeight="false" outlineLevel="0" collapsed="false">
      <c r="A60" s="5" t="s">
        <v>175</v>
      </c>
      <c r="B60" s="5" t="s">
        <v>176</v>
      </c>
      <c r="C60" s="5" t="s">
        <v>220</v>
      </c>
      <c r="D60" s="5" t="s">
        <v>221</v>
      </c>
      <c r="E60" s="5" t="s">
        <v>212</v>
      </c>
      <c r="F60" s="5" t="s">
        <v>94</v>
      </c>
      <c r="G60" s="5"/>
      <c r="H60" s="5" t="s">
        <v>222</v>
      </c>
    </row>
    <row r="61" customFormat="false" ht="23.85" hidden="false" customHeight="false" outlineLevel="0" collapsed="false">
      <c r="A61" s="5" t="s">
        <v>175</v>
      </c>
      <c r="B61" s="5" t="s">
        <v>176</v>
      </c>
      <c r="C61" s="5" t="s">
        <v>223</v>
      </c>
      <c r="D61" s="5" t="s">
        <v>224</v>
      </c>
      <c r="E61" s="5" t="s">
        <v>212</v>
      </c>
      <c r="F61" s="5" t="s">
        <v>94</v>
      </c>
      <c r="G61" s="5"/>
      <c r="H61" s="5" t="s">
        <v>222</v>
      </c>
    </row>
    <row r="62" customFormat="false" ht="23.85" hidden="false" customHeight="false" outlineLevel="0" collapsed="false">
      <c r="A62" s="5" t="s">
        <v>175</v>
      </c>
      <c r="B62" s="5" t="s">
        <v>176</v>
      </c>
      <c r="C62" s="5" t="s">
        <v>225</v>
      </c>
      <c r="D62" s="5" t="s">
        <v>226</v>
      </c>
      <c r="E62" s="5" t="s">
        <v>212</v>
      </c>
      <c r="F62" s="5" t="s">
        <v>94</v>
      </c>
      <c r="G62" s="5"/>
      <c r="H62" s="5" t="s">
        <v>222</v>
      </c>
    </row>
    <row r="63" customFormat="false" ht="23.85" hidden="false" customHeight="false" outlineLevel="0" collapsed="false">
      <c r="A63" s="5" t="s">
        <v>175</v>
      </c>
      <c r="B63" s="5" t="s">
        <v>176</v>
      </c>
      <c r="C63" s="5" t="s">
        <v>227</v>
      </c>
      <c r="D63" s="5" t="s">
        <v>228</v>
      </c>
      <c r="E63" s="5" t="s">
        <v>212</v>
      </c>
      <c r="F63" s="5" t="s">
        <v>94</v>
      </c>
      <c r="G63" s="5"/>
      <c r="H63" s="5" t="s">
        <v>222</v>
      </c>
    </row>
    <row r="64" customFormat="false" ht="23.85" hidden="false" customHeight="false" outlineLevel="0" collapsed="false">
      <c r="A64" s="5" t="s">
        <v>175</v>
      </c>
      <c r="B64" s="5" t="s">
        <v>176</v>
      </c>
      <c r="C64" s="5" t="s">
        <v>229</v>
      </c>
      <c r="D64" s="5" t="s">
        <v>230</v>
      </c>
      <c r="E64" s="5" t="s">
        <v>212</v>
      </c>
      <c r="F64" s="5" t="s">
        <v>94</v>
      </c>
      <c r="G64" s="5"/>
      <c r="H64" s="5" t="s">
        <v>222</v>
      </c>
    </row>
    <row r="65" customFormat="false" ht="23.85" hidden="false" customHeight="false" outlineLevel="0" collapsed="false">
      <c r="A65" s="5" t="s">
        <v>175</v>
      </c>
      <c r="B65" s="5" t="s">
        <v>176</v>
      </c>
      <c r="C65" s="5" t="s">
        <v>231</v>
      </c>
      <c r="D65" s="5" t="s">
        <v>232</v>
      </c>
      <c r="E65" s="5" t="s">
        <v>212</v>
      </c>
      <c r="F65" s="5" t="s">
        <v>94</v>
      </c>
      <c r="G65" s="5"/>
      <c r="H65" s="5" t="s">
        <v>222</v>
      </c>
    </row>
    <row r="66" customFormat="false" ht="15" hidden="false" customHeight="false" outlineLevel="0" collapsed="false">
      <c r="A66" s="5" t="s">
        <v>175</v>
      </c>
      <c r="B66" s="5" t="s">
        <v>176</v>
      </c>
      <c r="C66" s="5" t="s">
        <v>233</v>
      </c>
      <c r="D66" s="5" t="s">
        <v>234</v>
      </c>
      <c r="E66" s="5" t="s">
        <v>235</v>
      </c>
      <c r="F66" s="5" t="s">
        <v>94</v>
      </c>
      <c r="G66" s="5"/>
      <c r="H66" s="5"/>
    </row>
    <row r="67" customFormat="false" ht="15" hidden="false" customHeight="false" outlineLevel="0" collapsed="false">
      <c r="A67" s="5" t="s">
        <v>175</v>
      </c>
      <c r="B67" s="5" t="s">
        <v>176</v>
      </c>
      <c r="C67" s="5" t="s">
        <v>236</v>
      </c>
      <c r="D67" s="5" t="s">
        <v>237</v>
      </c>
      <c r="E67" s="5" t="s">
        <v>235</v>
      </c>
      <c r="F67" s="5" t="s">
        <v>94</v>
      </c>
      <c r="G67" s="5"/>
      <c r="H67" s="5"/>
    </row>
    <row r="68" customFormat="false" ht="15" hidden="false" customHeight="false" outlineLevel="0" collapsed="false">
      <c r="A68" s="5" t="s">
        <v>175</v>
      </c>
      <c r="B68" s="5" t="s">
        <v>176</v>
      </c>
      <c r="C68" s="5" t="s">
        <v>238</v>
      </c>
      <c r="D68" s="5" t="s">
        <v>239</v>
      </c>
      <c r="E68" s="5" t="s">
        <v>240</v>
      </c>
      <c r="F68" s="5" t="s">
        <v>94</v>
      </c>
      <c r="G68" s="5"/>
      <c r="H68" s="5"/>
    </row>
    <row r="69" customFormat="false" ht="15" hidden="false" customHeight="false" outlineLevel="0" collapsed="false">
      <c r="A69" s="5" t="s">
        <v>175</v>
      </c>
      <c r="B69" s="5" t="s">
        <v>176</v>
      </c>
      <c r="C69" s="5" t="s">
        <v>241</v>
      </c>
      <c r="D69" s="5" t="s">
        <v>242</v>
      </c>
      <c r="E69" s="5" t="s">
        <v>75</v>
      </c>
      <c r="F69" s="5" t="s">
        <v>94</v>
      </c>
      <c r="G69" s="5"/>
      <c r="H69" s="5"/>
    </row>
    <row r="70" customFormat="false" ht="15" hidden="false" customHeight="false" outlineLevel="0" collapsed="false">
      <c r="A70" s="5" t="s">
        <v>175</v>
      </c>
      <c r="B70" s="5" t="s">
        <v>176</v>
      </c>
      <c r="C70" s="5" t="s">
        <v>243</v>
      </c>
      <c r="D70" s="5" t="s">
        <v>244</v>
      </c>
      <c r="E70" s="5" t="s">
        <v>240</v>
      </c>
      <c r="F70" s="5" t="s">
        <v>94</v>
      </c>
      <c r="G70" s="5"/>
      <c r="H70" s="5"/>
    </row>
    <row r="71" customFormat="false" ht="15" hidden="false" customHeight="false" outlineLevel="0" collapsed="false">
      <c r="A71" s="5" t="s">
        <v>175</v>
      </c>
      <c r="B71" s="5" t="s">
        <v>176</v>
      </c>
      <c r="C71" s="5" t="s">
        <v>245</v>
      </c>
      <c r="D71" s="5" t="s">
        <v>246</v>
      </c>
      <c r="E71" s="5" t="s">
        <v>247</v>
      </c>
      <c r="F71" s="5" t="s">
        <v>94</v>
      </c>
      <c r="G71" s="5"/>
      <c r="H71" s="5"/>
    </row>
    <row r="72" customFormat="false" ht="15" hidden="false" customHeight="false" outlineLevel="0" collapsed="false">
      <c r="A72" s="5" t="s">
        <v>175</v>
      </c>
      <c r="B72" s="5" t="s">
        <v>176</v>
      </c>
      <c r="C72" s="5" t="s">
        <v>248</v>
      </c>
      <c r="D72" s="5" t="s">
        <v>249</v>
      </c>
      <c r="E72" s="5" t="s">
        <v>250</v>
      </c>
      <c r="F72" s="5" t="s">
        <v>94</v>
      </c>
      <c r="G72" s="5"/>
      <c r="H72" s="5"/>
    </row>
    <row r="73" customFormat="false" ht="15" hidden="false" customHeight="false" outlineLevel="0" collapsed="false">
      <c r="A73" s="5" t="s">
        <v>175</v>
      </c>
      <c r="B73" s="5" t="s">
        <v>176</v>
      </c>
      <c r="C73" s="5" t="s">
        <v>251</v>
      </c>
      <c r="D73" s="5" t="s">
        <v>252</v>
      </c>
      <c r="E73" s="5" t="s">
        <v>253</v>
      </c>
      <c r="F73" s="5" t="s">
        <v>94</v>
      </c>
      <c r="G73" s="5"/>
      <c r="H73" s="5"/>
    </row>
    <row r="74" customFormat="false" ht="15" hidden="false" customHeight="false" outlineLevel="0" collapsed="false">
      <c r="A74" s="5" t="s">
        <v>175</v>
      </c>
      <c r="B74" s="5" t="s">
        <v>176</v>
      </c>
      <c r="C74" s="5" t="s">
        <v>254</v>
      </c>
      <c r="D74" s="5" t="s">
        <v>255</v>
      </c>
      <c r="E74" s="5" t="s">
        <v>256</v>
      </c>
      <c r="F74" s="5" t="s">
        <v>94</v>
      </c>
      <c r="G74" s="5"/>
      <c r="H74" s="5"/>
    </row>
    <row r="75" customFormat="false" ht="15" hidden="false" customHeight="false" outlineLevel="0" collapsed="false">
      <c r="A75" s="5" t="s">
        <v>175</v>
      </c>
      <c r="B75" s="5" t="s">
        <v>176</v>
      </c>
      <c r="C75" s="5" t="s">
        <v>257</v>
      </c>
      <c r="D75" s="5" t="s">
        <v>258</v>
      </c>
      <c r="E75" s="5" t="s">
        <v>75</v>
      </c>
      <c r="F75" s="5" t="s">
        <v>94</v>
      </c>
      <c r="G75" s="5"/>
      <c r="H75" s="5"/>
    </row>
    <row r="76" customFormat="false" ht="23.85" hidden="false" customHeight="false" outlineLevel="0" collapsed="false">
      <c r="A76" s="5" t="s">
        <v>175</v>
      </c>
      <c r="B76" s="5" t="s">
        <v>176</v>
      </c>
      <c r="C76" s="5" t="s">
        <v>259</v>
      </c>
      <c r="D76" s="5" t="s">
        <v>260</v>
      </c>
      <c r="E76" s="5" t="s">
        <v>107</v>
      </c>
      <c r="F76" s="5" t="s">
        <v>94</v>
      </c>
      <c r="G76" s="5" t="s">
        <v>261</v>
      </c>
      <c r="H76" s="5" t="s">
        <v>262</v>
      </c>
    </row>
    <row r="77" customFormat="false" ht="15" hidden="false" customHeight="false" outlineLevel="0" collapsed="false">
      <c r="A77" s="5" t="s">
        <v>175</v>
      </c>
      <c r="B77" s="5" t="s">
        <v>176</v>
      </c>
      <c r="C77" s="5" t="s">
        <v>263</v>
      </c>
      <c r="D77" s="5" t="s">
        <v>264</v>
      </c>
      <c r="E77" s="5" t="s">
        <v>107</v>
      </c>
      <c r="F77" s="5" t="s">
        <v>94</v>
      </c>
      <c r="G77" s="5" t="s">
        <v>265</v>
      </c>
      <c r="H77" s="5" t="s">
        <v>266</v>
      </c>
    </row>
    <row r="78" customFormat="false" ht="15" hidden="false" customHeight="false" outlineLevel="0" collapsed="false">
      <c r="A78" s="5" t="s">
        <v>175</v>
      </c>
      <c r="B78" s="5" t="s">
        <v>176</v>
      </c>
      <c r="C78" s="5" t="s">
        <v>267</v>
      </c>
      <c r="D78" s="5" t="s">
        <v>268</v>
      </c>
      <c r="E78" s="5" t="s">
        <v>269</v>
      </c>
      <c r="F78" s="5" t="s">
        <v>94</v>
      </c>
      <c r="G78" s="5" t="s">
        <v>265</v>
      </c>
      <c r="H78" s="5"/>
    </row>
    <row r="79" customFormat="false" ht="35.05" hidden="false" customHeight="false" outlineLevel="0" collapsed="false">
      <c r="A79" s="5" t="s">
        <v>175</v>
      </c>
      <c r="B79" s="5" t="s">
        <v>176</v>
      </c>
      <c r="C79" s="5" t="s">
        <v>270</v>
      </c>
      <c r="D79" s="5" t="s">
        <v>271</v>
      </c>
      <c r="E79" s="5" t="s">
        <v>272</v>
      </c>
      <c r="F79" s="5" t="s">
        <v>94</v>
      </c>
      <c r="G79" s="5" t="s">
        <v>273</v>
      </c>
      <c r="H79" s="5" t="s">
        <v>274</v>
      </c>
    </row>
    <row r="80" customFormat="false" ht="35.05" hidden="false" customHeight="false" outlineLevel="0" collapsed="false">
      <c r="A80" s="5" t="s">
        <v>175</v>
      </c>
      <c r="B80" s="5" t="s">
        <v>176</v>
      </c>
      <c r="C80" s="5" t="s">
        <v>275</v>
      </c>
      <c r="D80" s="5" t="s">
        <v>276</v>
      </c>
      <c r="E80" s="5" t="s">
        <v>132</v>
      </c>
      <c r="F80" s="5" t="s">
        <v>94</v>
      </c>
      <c r="G80" s="5" t="s">
        <v>273</v>
      </c>
      <c r="H80" s="5" t="s">
        <v>274</v>
      </c>
    </row>
    <row r="81" customFormat="false" ht="15" hidden="false" customHeight="false" outlineLevel="0" collapsed="false">
      <c r="A81" s="5" t="s">
        <v>175</v>
      </c>
      <c r="B81" s="5" t="s">
        <v>176</v>
      </c>
      <c r="C81" s="5" t="s">
        <v>277</v>
      </c>
      <c r="D81" s="5" t="s">
        <v>278</v>
      </c>
      <c r="E81" s="5" t="s">
        <v>192</v>
      </c>
      <c r="F81" s="5" t="s">
        <v>94</v>
      </c>
      <c r="G81" s="5"/>
      <c r="H81" s="5"/>
    </row>
    <row r="82" customFormat="false" ht="15" hidden="false" customHeight="false" outlineLevel="0" collapsed="false">
      <c r="A82" s="5" t="s">
        <v>175</v>
      </c>
      <c r="B82" s="5" t="s">
        <v>176</v>
      </c>
      <c r="C82" s="5" t="s">
        <v>279</v>
      </c>
      <c r="D82" s="5" t="s">
        <v>280</v>
      </c>
      <c r="E82" s="5" t="s">
        <v>124</v>
      </c>
      <c r="F82" s="5" t="s">
        <v>94</v>
      </c>
      <c r="G82" s="5"/>
      <c r="H82" s="5"/>
    </row>
    <row r="83" customFormat="false" ht="23.85" hidden="false" customHeight="false" outlineLevel="0" collapsed="false">
      <c r="A83" s="5" t="s">
        <v>175</v>
      </c>
      <c r="B83" s="5" t="s">
        <v>176</v>
      </c>
      <c r="C83" s="5" t="s">
        <v>281</v>
      </c>
      <c r="D83" s="5" t="s">
        <v>282</v>
      </c>
      <c r="E83" s="5" t="s">
        <v>283</v>
      </c>
      <c r="F83" s="5" t="s">
        <v>94</v>
      </c>
      <c r="G83" s="5" t="s">
        <v>284</v>
      </c>
      <c r="H83" s="5"/>
    </row>
    <row r="84" customFormat="false" ht="15" hidden="false" customHeight="false" outlineLevel="0" collapsed="false">
      <c r="A84" s="5" t="s">
        <v>175</v>
      </c>
      <c r="B84" s="5" t="s">
        <v>176</v>
      </c>
      <c r="C84" s="5" t="s">
        <v>285</v>
      </c>
      <c r="D84" s="5" t="s">
        <v>286</v>
      </c>
      <c r="E84" s="5" t="s">
        <v>192</v>
      </c>
      <c r="F84" s="5" t="s">
        <v>94</v>
      </c>
      <c r="G84" s="5"/>
      <c r="H84" s="5"/>
    </row>
    <row r="85" customFormat="false" ht="15" hidden="false" customHeight="false" outlineLevel="0" collapsed="false">
      <c r="A85" s="5" t="s">
        <v>175</v>
      </c>
      <c r="B85" s="5" t="s">
        <v>176</v>
      </c>
      <c r="C85" s="5" t="s">
        <v>287</v>
      </c>
      <c r="D85" s="5" t="s">
        <v>288</v>
      </c>
      <c r="E85" s="5" t="s">
        <v>75</v>
      </c>
      <c r="F85" s="5" t="s">
        <v>94</v>
      </c>
      <c r="G85" s="5"/>
      <c r="H85" s="5"/>
    </row>
    <row r="86" customFormat="false" ht="15" hidden="false" customHeight="false" outlineLevel="0" collapsed="false">
      <c r="A86" s="5" t="s">
        <v>175</v>
      </c>
      <c r="B86" s="5" t="s">
        <v>176</v>
      </c>
      <c r="C86" s="5" t="s">
        <v>289</v>
      </c>
      <c r="D86" s="5" t="s">
        <v>290</v>
      </c>
      <c r="E86" s="5" t="s">
        <v>209</v>
      </c>
      <c r="F86" s="5" t="s">
        <v>94</v>
      </c>
      <c r="G86" s="5"/>
      <c r="H86" s="5"/>
    </row>
    <row r="87" customFormat="false" ht="15" hidden="false" customHeight="false" outlineLevel="0" collapsed="false">
      <c r="A87" s="5" t="s">
        <v>175</v>
      </c>
      <c r="B87" s="5" t="s">
        <v>176</v>
      </c>
      <c r="C87" s="5" t="s">
        <v>291</v>
      </c>
      <c r="D87" s="5" t="s">
        <v>292</v>
      </c>
      <c r="E87" s="5" t="s">
        <v>93</v>
      </c>
      <c r="F87" s="5" t="s">
        <v>94</v>
      </c>
      <c r="G87" s="5"/>
      <c r="H87" s="5"/>
    </row>
    <row r="88" customFormat="false" ht="15" hidden="false" customHeight="false" outlineLevel="0" collapsed="false">
      <c r="A88" s="5" t="s">
        <v>175</v>
      </c>
      <c r="B88" s="5" t="s">
        <v>176</v>
      </c>
      <c r="C88" s="5" t="s">
        <v>293</v>
      </c>
      <c r="D88" s="5" t="s">
        <v>294</v>
      </c>
      <c r="E88" s="5" t="s">
        <v>240</v>
      </c>
      <c r="F88" s="5" t="s">
        <v>94</v>
      </c>
      <c r="G88" s="5"/>
      <c r="H88" s="5"/>
    </row>
    <row r="89" customFormat="false" ht="15" hidden="false" customHeight="false" outlineLevel="0" collapsed="false">
      <c r="A89" s="5" t="s">
        <v>175</v>
      </c>
      <c r="B89" s="5" t="s">
        <v>176</v>
      </c>
      <c r="C89" s="5" t="s">
        <v>295</v>
      </c>
      <c r="D89" s="5" t="s">
        <v>296</v>
      </c>
      <c r="E89" s="5" t="s">
        <v>93</v>
      </c>
      <c r="F89" s="5" t="s">
        <v>94</v>
      </c>
      <c r="G89" s="5"/>
      <c r="H89" s="5"/>
    </row>
    <row r="90" customFormat="false" ht="15" hidden="false" customHeight="false" outlineLevel="0" collapsed="false">
      <c r="A90" s="5" t="s">
        <v>175</v>
      </c>
      <c r="B90" s="5" t="s">
        <v>176</v>
      </c>
      <c r="C90" s="5" t="s">
        <v>297</v>
      </c>
      <c r="D90" s="5" t="s">
        <v>298</v>
      </c>
      <c r="E90" s="5" t="s">
        <v>240</v>
      </c>
      <c r="F90" s="5" t="s">
        <v>94</v>
      </c>
      <c r="G90" s="5"/>
      <c r="H90" s="5"/>
    </row>
    <row r="91" customFormat="false" ht="15" hidden="false" customHeight="false" outlineLevel="0" collapsed="false">
      <c r="A91" s="5" t="s">
        <v>175</v>
      </c>
      <c r="B91" s="5" t="s">
        <v>176</v>
      </c>
      <c r="C91" s="5" t="s">
        <v>299</v>
      </c>
      <c r="D91" s="5" t="s">
        <v>300</v>
      </c>
      <c r="E91" s="5" t="s">
        <v>301</v>
      </c>
      <c r="F91" s="5" t="s">
        <v>94</v>
      </c>
      <c r="G91" s="5"/>
      <c r="H91" s="5"/>
    </row>
    <row r="92" customFormat="false" ht="23.85" hidden="false" customHeight="false" outlineLevel="0" collapsed="false">
      <c r="A92" s="5" t="s">
        <v>175</v>
      </c>
      <c r="B92" s="5" t="s">
        <v>176</v>
      </c>
      <c r="C92" s="5" t="s">
        <v>302</v>
      </c>
      <c r="D92" s="5" t="s">
        <v>303</v>
      </c>
      <c r="E92" s="5" t="s">
        <v>192</v>
      </c>
      <c r="F92" s="5" t="s">
        <v>94</v>
      </c>
      <c r="G92" s="5" t="s">
        <v>304</v>
      </c>
      <c r="H92" s="5"/>
    </row>
    <row r="93" customFormat="false" ht="23.85" hidden="false" customHeight="false" outlineLevel="0" collapsed="false">
      <c r="A93" s="5" t="s">
        <v>175</v>
      </c>
      <c r="B93" s="5" t="s">
        <v>176</v>
      </c>
      <c r="C93" s="5" t="s">
        <v>305</v>
      </c>
      <c r="D93" s="5" t="s">
        <v>306</v>
      </c>
      <c r="E93" s="5" t="s">
        <v>192</v>
      </c>
      <c r="F93" s="5" t="s">
        <v>94</v>
      </c>
      <c r="G93" s="5" t="s">
        <v>307</v>
      </c>
      <c r="H93" s="5"/>
    </row>
    <row r="94" customFormat="false" ht="15" hidden="false" customHeight="false" outlineLevel="0" collapsed="false">
      <c r="A94" s="12" t="s">
        <v>308</v>
      </c>
      <c r="B94" s="12" t="s">
        <v>309</v>
      </c>
      <c r="C94" s="12" t="s">
        <v>67</v>
      </c>
      <c r="D94" s="12"/>
      <c r="E94" s="12"/>
      <c r="F94" s="12"/>
      <c r="G94" s="12"/>
      <c r="H94" s="12" t="s">
        <v>310</v>
      </c>
    </row>
    <row r="95" customFormat="false" ht="15" hidden="false" customHeight="false" outlineLevel="0" collapsed="false">
      <c r="A95" s="5" t="s">
        <v>308</v>
      </c>
      <c r="B95" s="5" t="s">
        <v>309</v>
      </c>
      <c r="C95" s="5" t="s">
        <v>79</v>
      </c>
      <c r="D95" s="5" t="s">
        <v>70</v>
      </c>
      <c r="E95" s="5" t="s">
        <v>99</v>
      </c>
      <c r="F95" s="5" t="s">
        <v>62</v>
      </c>
      <c r="G95" s="5"/>
      <c r="H95" s="5" t="s">
        <v>311</v>
      </c>
    </row>
    <row r="96" customFormat="false" ht="15" hidden="false" customHeight="false" outlineLevel="0" collapsed="false">
      <c r="A96" s="5" t="s">
        <v>308</v>
      </c>
      <c r="B96" s="5" t="s">
        <v>309</v>
      </c>
      <c r="C96" s="5" t="s">
        <v>312</v>
      </c>
      <c r="D96" s="5" t="s">
        <v>313</v>
      </c>
      <c r="E96" s="5" t="s">
        <v>124</v>
      </c>
      <c r="F96" s="5" t="s">
        <v>62</v>
      </c>
      <c r="G96" s="5"/>
      <c r="H96" s="5"/>
    </row>
    <row r="97" customFormat="false" ht="15" hidden="false" customHeight="false" outlineLevel="0" collapsed="false">
      <c r="A97" s="5" t="s">
        <v>308</v>
      </c>
      <c r="B97" s="5" t="s">
        <v>309</v>
      </c>
      <c r="C97" s="5" t="s">
        <v>147</v>
      </c>
      <c r="D97" s="5" t="s">
        <v>148</v>
      </c>
      <c r="E97" s="5" t="s">
        <v>174</v>
      </c>
      <c r="F97" s="5" t="s">
        <v>62</v>
      </c>
      <c r="G97" s="5"/>
      <c r="H97" s="5"/>
    </row>
    <row r="98" customFormat="false" ht="15" hidden="false" customHeight="false" outlineLevel="0" collapsed="false">
      <c r="A98" s="5" t="s">
        <v>308</v>
      </c>
      <c r="B98" s="5" t="s">
        <v>309</v>
      </c>
      <c r="C98" s="5" t="s">
        <v>167</v>
      </c>
      <c r="D98" s="5" t="s">
        <v>314</v>
      </c>
      <c r="E98" s="5" t="s">
        <v>75</v>
      </c>
      <c r="F98" s="5" t="s">
        <v>94</v>
      </c>
      <c r="G98" s="5"/>
      <c r="H98" s="5" t="s">
        <v>315</v>
      </c>
    </row>
    <row r="99" customFormat="false" ht="15" hidden="false" customHeight="false" outlineLevel="0" collapsed="false">
      <c r="A99" s="5" t="s">
        <v>308</v>
      </c>
      <c r="B99" s="5" t="s">
        <v>309</v>
      </c>
      <c r="C99" s="5" t="s">
        <v>126</v>
      </c>
      <c r="D99" s="5" t="s">
        <v>127</v>
      </c>
      <c r="E99" s="5" t="s">
        <v>128</v>
      </c>
      <c r="F99" s="5" t="s">
        <v>62</v>
      </c>
      <c r="G99" s="5"/>
      <c r="H99" s="5"/>
    </row>
    <row r="100" customFormat="false" ht="15" hidden="false" customHeight="false" outlineLevel="0" collapsed="false">
      <c r="A100" s="12" t="s">
        <v>222</v>
      </c>
      <c r="B100" s="12" t="s">
        <v>316</v>
      </c>
      <c r="C100" s="12" t="s">
        <v>67</v>
      </c>
      <c r="D100" s="12"/>
      <c r="E100" s="12"/>
      <c r="F100" s="12"/>
      <c r="G100" s="12"/>
      <c r="H100" s="12" t="s">
        <v>317</v>
      </c>
    </row>
    <row r="101" customFormat="false" ht="23.85" hidden="false" customHeight="false" outlineLevel="0" collapsed="false">
      <c r="A101" s="5" t="s">
        <v>222</v>
      </c>
      <c r="B101" s="5" t="s">
        <v>316</v>
      </c>
      <c r="C101" s="5" t="s">
        <v>79</v>
      </c>
      <c r="D101" s="5" t="s">
        <v>70</v>
      </c>
      <c r="E101" s="5" t="s">
        <v>80</v>
      </c>
      <c r="F101" s="5" t="s">
        <v>62</v>
      </c>
      <c r="G101" s="5"/>
      <c r="H101" s="5" t="s">
        <v>318</v>
      </c>
    </row>
    <row r="102" customFormat="false" ht="15" hidden="false" customHeight="false" outlineLevel="0" collapsed="false">
      <c r="A102" s="5" t="s">
        <v>222</v>
      </c>
      <c r="B102" s="5" t="s">
        <v>316</v>
      </c>
      <c r="C102" s="5" t="s">
        <v>82</v>
      </c>
      <c r="D102" s="5" t="s">
        <v>83</v>
      </c>
      <c r="E102" s="5" t="s">
        <v>84</v>
      </c>
      <c r="F102" s="5" t="s">
        <v>62</v>
      </c>
      <c r="G102" s="5" t="s">
        <v>85</v>
      </c>
      <c r="H102" s="5" t="s">
        <v>319</v>
      </c>
    </row>
    <row r="103" customFormat="false" ht="23.85" hidden="false" customHeight="false" outlineLevel="0" collapsed="false">
      <c r="A103" s="5" t="s">
        <v>222</v>
      </c>
      <c r="B103" s="5" t="s">
        <v>316</v>
      </c>
      <c r="C103" s="5" t="s">
        <v>320</v>
      </c>
      <c r="D103" s="5" t="s">
        <v>321</v>
      </c>
      <c r="E103" s="5" t="s">
        <v>84</v>
      </c>
      <c r="F103" s="5" t="s">
        <v>94</v>
      </c>
      <c r="G103" s="5" t="s">
        <v>89</v>
      </c>
      <c r="H103" s="5" t="s">
        <v>322</v>
      </c>
    </row>
    <row r="104" customFormat="false" ht="23.85" hidden="false" customHeight="false" outlineLevel="0" collapsed="false">
      <c r="A104" s="12" t="s">
        <v>323</v>
      </c>
      <c r="B104" s="12" t="s">
        <v>324</v>
      </c>
      <c r="C104" s="12" t="s">
        <v>67</v>
      </c>
      <c r="D104" s="12"/>
      <c r="E104" s="12"/>
      <c r="F104" s="12"/>
      <c r="G104" s="12"/>
      <c r="H104" s="12" t="s">
        <v>325</v>
      </c>
    </row>
    <row r="105" customFormat="false" ht="15" hidden="false" customHeight="false" outlineLevel="0" collapsed="false">
      <c r="A105" s="5" t="s">
        <v>323</v>
      </c>
      <c r="B105" s="5" t="s">
        <v>324</v>
      </c>
      <c r="C105" s="5" t="s">
        <v>79</v>
      </c>
      <c r="D105" s="5" t="s">
        <v>70</v>
      </c>
      <c r="E105" s="5" t="s">
        <v>99</v>
      </c>
      <c r="F105" s="5" t="s">
        <v>62</v>
      </c>
      <c r="G105" s="5"/>
      <c r="H105" s="5" t="s">
        <v>326</v>
      </c>
    </row>
    <row r="106" customFormat="false" ht="15" hidden="false" customHeight="false" outlineLevel="0" collapsed="false">
      <c r="A106" s="5" t="s">
        <v>323</v>
      </c>
      <c r="B106" s="5" t="s">
        <v>324</v>
      </c>
      <c r="C106" s="5" t="s">
        <v>175</v>
      </c>
      <c r="D106" s="5" t="s">
        <v>176</v>
      </c>
      <c r="E106" s="5" t="s">
        <v>327</v>
      </c>
      <c r="F106" s="5" t="s">
        <v>62</v>
      </c>
      <c r="G106" s="5"/>
      <c r="H106" s="5"/>
    </row>
    <row r="107" customFormat="false" ht="15" hidden="false" customHeight="false" outlineLevel="0" collapsed="false">
      <c r="A107" s="5" t="s">
        <v>323</v>
      </c>
      <c r="B107" s="5" t="s">
        <v>324</v>
      </c>
      <c r="C107" s="5" t="s">
        <v>222</v>
      </c>
      <c r="D107" s="5" t="s">
        <v>316</v>
      </c>
      <c r="E107" s="5" t="s">
        <v>328</v>
      </c>
      <c r="F107" s="5" t="s">
        <v>62</v>
      </c>
      <c r="G107" s="5"/>
      <c r="H107" s="5"/>
    </row>
    <row r="108" customFormat="false" ht="15" hidden="false" customHeight="false" outlineLevel="0" collapsed="false">
      <c r="A108" s="5" t="s">
        <v>323</v>
      </c>
      <c r="B108" s="5" t="s">
        <v>324</v>
      </c>
      <c r="C108" s="5" t="s">
        <v>329</v>
      </c>
      <c r="D108" s="5" t="s">
        <v>330</v>
      </c>
      <c r="E108" s="5" t="s">
        <v>283</v>
      </c>
      <c r="F108" s="5" t="s">
        <v>62</v>
      </c>
      <c r="G108" s="5"/>
      <c r="H108" s="5"/>
    </row>
    <row r="109" customFormat="false" ht="15" hidden="false" customHeight="false" outlineLevel="0" collapsed="false">
      <c r="A109" s="5" t="s">
        <v>323</v>
      </c>
      <c r="B109" s="5" t="s">
        <v>324</v>
      </c>
      <c r="C109" s="5" t="s">
        <v>331</v>
      </c>
      <c r="D109" s="5" t="s">
        <v>332</v>
      </c>
      <c r="E109" s="5" t="s">
        <v>240</v>
      </c>
      <c r="F109" s="5" t="s">
        <v>94</v>
      </c>
      <c r="G109" s="5"/>
      <c r="H109" s="5"/>
    </row>
    <row r="110" customFormat="false" ht="15" hidden="false" customHeight="false" outlineLevel="0" collapsed="false">
      <c r="A110" s="5" t="s">
        <v>323</v>
      </c>
      <c r="B110" s="5" t="s">
        <v>324</v>
      </c>
      <c r="C110" s="5" t="s">
        <v>333</v>
      </c>
      <c r="D110" s="5" t="s">
        <v>334</v>
      </c>
      <c r="E110" s="5" t="s">
        <v>283</v>
      </c>
      <c r="F110" s="5" t="s">
        <v>94</v>
      </c>
      <c r="G110" s="5"/>
      <c r="H110" s="5" t="s">
        <v>335</v>
      </c>
    </row>
    <row r="111" customFormat="false" ht="15" hidden="false" customHeight="false" outlineLevel="0" collapsed="false">
      <c r="A111" s="5" t="s">
        <v>323</v>
      </c>
      <c r="B111" s="5" t="s">
        <v>324</v>
      </c>
      <c r="C111" s="5" t="s">
        <v>336</v>
      </c>
      <c r="D111" s="5" t="s">
        <v>337</v>
      </c>
      <c r="E111" s="5" t="s">
        <v>283</v>
      </c>
      <c r="F111" s="5" t="s">
        <v>94</v>
      </c>
      <c r="G111" s="5"/>
      <c r="H111" s="5" t="s">
        <v>335</v>
      </c>
    </row>
    <row r="112" customFormat="false" ht="23.85" hidden="false" customHeight="false" outlineLevel="0" collapsed="false">
      <c r="A112" s="12" t="s">
        <v>338</v>
      </c>
      <c r="B112" s="12" t="s">
        <v>339</v>
      </c>
      <c r="C112" s="12" t="s">
        <v>67</v>
      </c>
      <c r="D112" s="12"/>
      <c r="E112" s="12"/>
      <c r="F112" s="12"/>
      <c r="G112" s="12"/>
      <c r="H112" s="12" t="s">
        <v>340</v>
      </c>
    </row>
    <row r="113" customFormat="false" ht="15" hidden="false" customHeight="false" outlineLevel="0" collapsed="false">
      <c r="A113" s="5" t="s">
        <v>338</v>
      </c>
      <c r="B113" s="5" t="s">
        <v>339</v>
      </c>
      <c r="C113" s="5" t="s">
        <v>341</v>
      </c>
      <c r="D113" s="5" t="s">
        <v>70</v>
      </c>
      <c r="E113" s="5" t="s">
        <v>342</v>
      </c>
      <c r="F113" s="5" t="s">
        <v>62</v>
      </c>
      <c r="G113" s="5"/>
      <c r="H113" s="5" t="s">
        <v>343</v>
      </c>
    </row>
    <row r="114" customFormat="false" ht="15" hidden="false" customHeight="false" outlineLevel="0" collapsed="false">
      <c r="A114" s="5" t="s">
        <v>338</v>
      </c>
      <c r="B114" s="5" t="s">
        <v>339</v>
      </c>
      <c r="C114" s="5" t="s">
        <v>175</v>
      </c>
      <c r="D114" s="5" t="s">
        <v>176</v>
      </c>
      <c r="E114" s="5" t="s">
        <v>327</v>
      </c>
      <c r="F114" s="5" t="s">
        <v>62</v>
      </c>
      <c r="G114" s="5"/>
      <c r="H114" s="5"/>
    </row>
    <row r="115" customFormat="false" ht="15" hidden="false" customHeight="false" outlineLevel="0" collapsed="false">
      <c r="A115" s="5" t="s">
        <v>338</v>
      </c>
      <c r="B115" s="5" t="s">
        <v>339</v>
      </c>
      <c r="C115" s="5" t="s">
        <v>147</v>
      </c>
      <c r="D115" s="5" t="s">
        <v>148</v>
      </c>
      <c r="E115" s="5" t="s">
        <v>174</v>
      </c>
      <c r="F115" s="5" t="s">
        <v>62</v>
      </c>
      <c r="G115" s="5"/>
      <c r="H115" s="5"/>
    </row>
    <row r="116" customFormat="false" ht="15" hidden="false" customHeight="false" outlineLevel="0" collapsed="false">
      <c r="A116" s="5" t="s">
        <v>338</v>
      </c>
      <c r="B116" s="5" t="s">
        <v>339</v>
      </c>
      <c r="C116" s="5" t="s">
        <v>344</v>
      </c>
      <c r="D116" s="5" t="s">
        <v>345</v>
      </c>
      <c r="E116" s="5" t="s">
        <v>192</v>
      </c>
      <c r="F116" s="5" t="s">
        <v>62</v>
      </c>
      <c r="G116" s="5"/>
      <c r="H116" s="5"/>
    </row>
    <row r="117" customFormat="false" ht="15" hidden="false" customHeight="false" outlineLevel="0" collapsed="false">
      <c r="A117" s="5" t="s">
        <v>338</v>
      </c>
      <c r="B117" s="5" t="s">
        <v>339</v>
      </c>
      <c r="C117" s="5" t="s">
        <v>346</v>
      </c>
      <c r="D117" s="5" t="s">
        <v>347</v>
      </c>
      <c r="E117" s="5" t="s">
        <v>348</v>
      </c>
      <c r="F117" s="5" t="s">
        <v>94</v>
      </c>
      <c r="G117" s="5"/>
      <c r="H117" s="5" t="s">
        <v>349</v>
      </c>
    </row>
    <row r="118" customFormat="false" ht="15" hidden="false" customHeight="false" outlineLevel="0" collapsed="false">
      <c r="A118" s="5" t="s">
        <v>338</v>
      </c>
      <c r="B118" s="5" t="s">
        <v>339</v>
      </c>
      <c r="C118" s="5" t="s">
        <v>312</v>
      </c>
      <c r="D118" s="5" t="s">
        <v>313</v>
      </c>
      <c r="E118" s="5" t="s">
        <v>124</v>
      </c>
      <c r="F118" s="5" t="s">
        <v>94</v>
      </c>
      <c r="G118" s="5"/>
      <c r="H118" s="5" t="s">
        <v>350</v>
      </c>
    </row>
    <row r="119" customFormat="false" ht="23.85" hidden="false" customHeight="false" outlineLevel="0" collapsed="false">
      <c r="A119" s="5" t="s">
        <v>338</v>
      </c>
      <c r="B119" s="5" t="s">
        <v>339</v>
      </c>
      <c r="C119" s="5" t="s">
        <v>351</v>
      </c>
      <c r="D119" s="5" t="s">
        <v>352</v>
      </c>
      <c r="E119" s="5" t="s">
        <v>353</v>
      </c>
      <c r="F119" s="5" t="s">
        <v>62</v>
      </c>
      <c r="G119" s="5"/>
      <c r="H119" s="5"/>
    </row>
    <row r="120" customFormat="false" ht="23.85" hidden="false" customHeight="false" outlineLevel="0" collapsed="false">
      <c r="A120" s="5" t="s">
        <v>338</v>
      </c>
      <c r="B120" s="5" t="s">
        <v>339</v>
      </c>
      <c r="C120" s="5" t="s">
        <v>354</v>
      </c>
      <c r="D120" s="5" t="s">
        <v>355</v>
      </c>
      <c r="E120" s="5" t="s">
        <v>356</v>
      </c>
      <c r="F120" s="5" t="s">
        <v>94</v>
      </c>
      <c r="G120" s="5"/>
      <c r="H120" s="5" t="s">
        <v>357</v>
      </c>
    </row>
    <row r="121" customFormat="false" ht="15" hidden="false" customHeight="false" outlineLevel="0" collapsed="false">
      <c r="A121" s="5" t="s">
        <v>338</v>
      </c>
      <c r="B121" s="5" t="s">
        <v>339</v>
      </c>
      <c r="C121" s="5" t="s">
        <v>358</v>
      </c>
      <c r="D121" s="5" t="s">
        <v>359</v>
      </c>
      <c r="E121" s="5" t="s">
        <v>124</v>
      </c>
      <c r="F121" s="5" t="s">
        <v>94</v>
      </c>
      <c r="G121" s="5"/>
      <c r="H121" s="5"/>
    </row>
    <row r="122" customFormat="false" ht="15" hidden="false" customHeight="false" outlineLevel="0" collapsed="false">
      <c r="A122" s="5" t="s">
        <v>338</v>
      </c>
      <c r="B122" s="5" t="s">
        <v>339</v>
      </c>
      <c r="C122" s="5" t="s">
        <v>360</v>
      </c>
      <c r="D122" s="5" t="s">
        <v>361</v>
      </c>
      <c r="E122" s="5" t="s">
        <v>140</v>
      </c>
      <c r="F122" s="5" t="s">
        <v>94</v>
      </c>
      <c r="G122" s="5"/>
      <c r="H122" s="5"/>
    </row>
    <row r="123" customFormat="false" ht="15" hidden="false" customHeight="false" outlineLevel="0" collapsed="false">
      <c r="A123" s="5" t="s">
        <v>338</v>
      </c>
      <c r="B123" s="5" t="s">
        <v>339</v>
      </c>
      <c r="C123" s="5" t="s">
        <v>362</v>
      </c>
      <c r="D123" s="5" t="s">
        <v>363</v>
      </c>
      <c r="E123" s="5" t="s">
        <v>112</v>
      </c>
      <c r="F123" s="5" t="s">
        <v>94</v>
      </c>
      <c r="G123" s="5"/>
      <c r="H123" s="5"/>
    </row>
    <row r="124" customFormat="false" ht="15" hidden="false" customHeight="false" outlineLevel="0" collapsed="false">
      <c r="A124" s="5" t="s">
        <v>338</v>
      </c>
      <c r="B124" s="5" t="s">
        <v>339</v>
      </c>
      <c r="C124" s="5" t="s">
        <v>364</v>
      </c>
      <c r="D124" s="5" t="s">
        <v>365</v>
      </c>
      <c r="E124" s="5" t="s">
        <v>366</v>
      </c>
      <c r="F124" s="5" t="s">
        <v>94</v>
      </c>
      <c r="G124" s="5"/>
      <c r="H124" s="5"/>
    </row>
    <row r="125" customFormat="false" ht="15" hidden="false" customHeight="false" outlineLevel="0" collapsed="false">
      <c r="A125" s="5" t="s">
        <v>338</v>
      </c>
      <c r="B125" s="5" t="s">
        <v>339</v>
      </c>
      <c r="C125" s="5" t="s">
        <v>367</v>
      </c>
      <c r="D125" s="5" t="s">
        <v>368</v>
      </c>
      <c r="E125" s="5" t="s">
        <v>369</v>
      </c>
      <c r="F125" s="5" t="s">
        <v>94</v>
      </c>
      <c r="G125" s="5" t="s">
        <v>370</v>
      </c>
      <c r="H125" s="5" t="s">
        <v>371</v>
      </c>
    </row>
    <row r="126" customFormat="false" ht="15" hidden="false" customHeight="false" outlineLevel="0" collapsed="false">
      <c r="A126" s="5" t="s">
        <v>338</v>
      </c>
      <c r="B126" s="5" t="s">
        <v>339</v>
      </c>
      <c r="C126" s="5" t="s">
        <v>372</v>
      </c>
      <c r="D126" s="5" t="s">
        <v>373</v>
      </c>
      <c r="E126" s="5" t="s">
        <v>283</v>
      </c>
      <c r="F126" s="5" t="s">
        <v>62</v>
      </c>
      <c r="G126" s="5" t="s">
        <v>374</v>
      </c>
      <c r="H126" s="5"/>
    </row>
    <row r="127" customFormat="false" ht="15" hidden="false" customHeight="false" outlineLevel="0" collapsed="false">
      <c r="A127" s="5" t="s">
        <v>338</v>
      </c>
      <c r="B127" s="5" t="s">
        <v>339</v>
      </c>
      <c r="C127" s="5" t="s">
        <v>375</v>
      </c>
      <c r="D127" s="5" t="s">
        <v>376</v>
      </c>
      <c r="E127" s="5" t="s">
        <v>283</v>
      </c>
      <c r="F127" s="5" t="s">
        <v>62</v>
      </c>
      <c r="G127" s="5" t="s">
        <v>374</v>
      </c>
      <c r="H127" s="5"/>
    </row>
    <row r="128" customFormat="false" ht="15" hidden="false" customHeight="false" outlineLevel="0" collapsed="false">
      <c r="A128" s="5" t="s">
        <v>338</v>
      </c>
      <c r="B128" s="5" t="s">
        <v>339</v>
      </c>
      <c r="C128" s="5" t="s">
        <v>377</v>
      </c>
      <c r="D128" s="5" t="s">
        <v>378</v>
      </c>
      <c r="E128" s="5" t="s">
        <v>283</v>
      </c>
      <c r="F128" s="5" t="s">
        <v>62</v>
      </c>
      <c r="G128" s="5" t="s">
        <v>374</v>
      </c>
      <c r="H128" s="5"/>
    </row>
    <row r="129" customFormat="false" ht="15" hidden="false" customHeight="false" outlineLevel="0" collapsed="false">
      <c r="A129" s="5" t="s">
        <v>338</v>
      </c>
      <c r="B129" s="5" t="s">
        <v>339</v>
      </c>
      <c r="C129" s="5" t="s">
        <v>379</v>
      </c>
      <c r="D129" s="5" t="s">
        <v>380</v>
      </c>
      <c r="E129" s="5" t="s">
        <v>107</v>
      </c>
      <c r="F129" s="5" t="s">
        <v>94</v>
      </c>
      <c r="G129" s="5"/>
      <c r="H129" s="5"/>
    </row>
    <row r="130" customFormat="false" ht="15" hidden="false" customHeight="false" outlineLevel="0" collapsed="false">
      <c r="A130" s="5" t="s">
        <v>338</v>
      </c>
      <c r="B130" s="5" t="s">
        <v>339</v>
      </c>
      <c r="C130" s="5" t="s">
        <v>381</v>
      </c>
      <c r="D130" s="5" t="s">
        <v>382</v>
      </c>
      <c r="E130" s="5" t="s">
        <v>283</v>
      </c>
      <c r="F130" s="5" t="s">
        <v>62</v>
      </c>
      <c r="G130" s="5" t="s">
        <v>374</v>
      </c>
      <c r="H130" s="5"/>
    </row>
    <row r="131" customFormat="false" ht="15" hidden="false" customHeight="false" outlineLevel="0" collapsed="false">
      <c r="A131" s="5" t="s">
        <v>338</v>
      </c>
      <c r="B131" s="5" t="s">
        <v>339</v>
      </c>
      <c r="C131" s="5" t="s">
        <v>383</v>
      </c>
      <c r="D131" s="5" t="s">
        <v>384</v>
      </c>
      <c r="E131" s="5" t="s">
        <v>385</v>
      </c>
      <c r="F131" s="5" t="s">
        <v>94</v>
      </c>
      <c r="G131" s="5"/>
      <c r="H131" s="5"/>
    </row>
    <row r="132" customFormat="false" ht="15" hidden="false" customHeight="false" outlineLevel="0" collapsed="false">
      <c r="A132" s="5" t="s">
        <v>338</v>
      </c>
      <c r="B132" s="5" t="s">
        <v>339</v>
      </c>
      <c r="C132" s="5" t="s">
        <v>386</v>
      </c>
      <c r="D132" s="5" t="s">
        <v>387</v>
      </c>
      <c r="E132" s="5" t="s">
        <v>283</v>
      </c>
      <c r="F132" s="5" t="s">
        <v>62</v>
      </c>
      <c r="G132" s="5" t="s">
        <v>374</v>
      </c>
      <c r="H132" s="5"/>
    </row>
    <row r="133" customFormat="false" ht="15" hidden="false" customHeight="false" outlineLevel="0" collapsed="false">
      <c r="A133" s="5" t="s">
        <v>338</v>
      </c>
      <c r="B133" s="5" t="s">
        <v>339</v>
      </c>
      <c r="C133" s="5" t="s">
        <v>388</v>
      </c>
      <c r="D133" s="5" t="s">
        <v>389</v>
      </c>
      <c r="E133" s="5" t="s">
        <v>283</v>
      </c>
      <c r="F133" s="5" t="s">
        <v>62</v>
      </c>
      <c r="G133" s="5" t="s">
        <v>374</v>
      </c>
      <c r="H133" s="5"/>
    </row>
    <row r="134" customFormat="false" ht="15" hidden="false" customHeight="false" outlineLevel="0" collapsed="false">
      <c r="A134" s="5" t="s">
        <v>338</v>
      </c>
      <c r="B134" s="5" t="s">
        <v>339</v>
      </c>
      <c r="C134" s="5" t="s">
        <v>390</v>
      </c>
      <c r="D134" s="5" t="s">
        <v>391</v>
      </c>
      <c r="E134" s="5" t="s">
        <v>392</v>
      </c>
      <c r="F134" s="5" t="s">
        <v>94</v>
      </c>
      <c r="G134" s="5"/>
      <c r="H134" s="5" t="s">
        <v>393</v>
      </c>
    </row>
    <row r="135" customFormat="false" ht="15" hidden="false" customHeight="false" outlineLevel="0" collapsed="false">
      <c r="A135" s="5" t="s">
        <v>338</v>
      </c>
      <c r="B135" s="5" t="s">
        <v>339</v>
      </c>
      <c r="C135" s="5" t="s">
        <v>394</v>
      </c>
      <c r="D135" s="5" t="s">
        <v>395</v>
      </c>
      <c r="E135" s="5" t="s">
        <v>396</v>
      </c>
      <c r="F135" s="5" t="s">
        <v>94</v>
      </c>
      <c r="G135" s="5" t="s">
        <v>397</v>
      </c>
      <c r="H135" s="5" t="s">
        <v>398</v>
      </c>
    </row>
    <row r="136" customFormat="false" ht="15" hidden="false" customHeight="false" outlineLevel="0" collapsed="false">
      <c r="A136" s="5" t="s">
        <v>338</v>
      </c>
      <c r="B136" s="5" t="s">
        <v>339</v>
      </c>
      <c r="C136" s="5" t="s">
        <v>64</v>
      </c>
      <c r="D136" s="5" t="s">
        <v>399</v>
      </c>
      <c r="E136" s="5" t="s">
        <v>400</v>
      </c>
      <c r="F136" s="5" t="s">
        <v>94</v>
      </c>
      <c r="G136" s="5"/>
      <c r="H136" s="5"/>
    </row>
    <row r="137" customFormat="false" ht="15" hidden="false" customHeight="false" outlineLevel="0" collapsed="false">
      <c r="A137" s="5" t="s">
        <v>338</v>
      </c>
      <c r="B137" s="5" t="s">
        <v>339</v>
      </c>
      <c r="C137" s="5" t="s">
        <v>401</v>
      </c>
      <c r="D137" s="5" t="s">
        <v>402</v>
      </c>
      <c r="E137" s="5" t="s">
        <v>112</v>
      </c>
      <c r="F137" s="5" t="s">
        <v>94</v>
      </c>
      <c r="G137" s="5"/>
      <c r="H137" s="5"/>
    </row>
    <row r="138" customFormat="false" ht="15" hidden="false" customHeight="false" outlineLevel="0" collapsed="false">
      <c r="A138" s="5" t="s">
        <v>338</v>
      </c>
      <c r="B138" s="5" t="s">
        <v>339</v>
      </c>
      <c r="C138" s="5" t="s">
        <v>403</v>
      </c>
      <c r="D138" s="5" t="s">
        <v>404</v>
      </c>
      <c r="E138" s="5" t="s">
        <v>192</v>
      </c>
      <c r="F138" s="5" t="s">
        <v>94</v>
      </c>
      <c r="G138" s="5"/>
      <c r="H138" s="5"/>
    </row>
    <row r="139" customFormat="false" ht="15" hidden="false" customHeight="false" outlineLevel="0" collapsed="false">
      <c r="A139" s="5" t="s">
        <v>338</v>
      </c>
      <c r="B139" s="5" t="s">
        <v>339</v>
      </c>
      <c r="C139" s="5" t="s">
        <v>405</v>
      </c>
      <c r="D139" s="5" t="s">
        <v>406</v>
      </c>
      <c r="E139" s="5" t="s">
        <v>112</v>
      </c>
      <c r="F139" s="5" t="s">
        <v>94</v>
      </c>
      <c r="G139" s="5"/>
      <c r="H139" s="5"/>
    </row>
    <row r="140" customFormat="false" ht="15" hidden="false" customHeight="false" outlineLevel="0" collapsed="false">
      <c r="A140" s="5" t="s">
        <v>338</v>
      </c>
      <c r="B140" s="5" t="s">
        <v>339</v>
      </c>
      <c r="C140" s="5" t="s">
        <v>407</v>
      </c>
      <c r="D140" s="5" t="s">
        <v>408</v>
      </c>
      <c r="E140" s="5" t="s">
        <v>93</v>
      </c>
      <c r="F140" s="5" t="s">
        <v>94</v>
      </c>
      <c r="G140" s="5"/>
      <c r="H140" s="5" t="s">
        <v>409</v>
      </c>
    </row>
    <row r="141" customFormat="false" ht="15" hidden="false" customHeight="false" outlineLevel="0" collapsed="false">
      <c r="A141" s="5" t="s">
        <v>338</v>
      </c>
      <c r="B141" s="5" t="s">
        <v>339</v>
      </c>
      <c r="C141" s="5" t="s">
        <v>410</v>
      </c>
      <c r="D141" s="5" t="s">
        <v>411</v>
      </c>
      <c r="E141" s="5" t="s">
        <v>84</v>
      </c>
      <c r="F141" s="5" t="s">
        <v>62</v>
      </c>
      <c r="G141" s="5" t="s">
        <v>89</v>
      </c>
      <c r="H141" s="5" t="s">
        <v>412</v>
      </c>
    </row>
    <row r="142" customFormat="false" ht="15" hidden="false" customHeight="false" outlineLevel="0" collapsed="false">
      <c r="A142" s="5" t="s">
        <v>338</v>
      </c>
      <c r="B142" s="5" t="s">
        <v>339</v>
      </c>
      <c r="C142" s="5" t="s">
        <v>413</v>
      </c>
      <c r="D142" s="5" t="s">
        <v>414</v>
      </c>
      <c r="E142" s="5" t="s">
        <v>112</v>
      </c>
      <c r="F142" s="5" t="s">
        <v>94</v>
      </c>
      <c r="G142" s="5"/>
      <c r="H142" s="5" t="s">
        <v>415</v>
      </c>
    </row>
    <row r="143" customFormat="false" ht="15" hidden="false" customHeight="false" outlineLevel="0" collapsed="false">
      <c r="A143" s="5" t="s">
        <v>338</v>
      </c>
      <c r="B143" s="5" t="s">
        <v>339</v>
      </c>
      <c r="C143" s="5" t="s">
        <v>263</v>
      </c>
      <c r="D143" s="5" t="s">
        <v>264</v>
      </c>
      <c r="E143" s="5" t="s">
        <v>107</v>
      </c>
      <c r="F143" s="5" t="s">
        <v>94</v>
      </c>
      <c r="G143" s="5" t="s">
        <v>416</v>
      </c>
      <c r="H143" s="5" t="s">
        <v>417</v>
      </c>
    </row>
    <row r="144" customFormat="false" ht="15" hidden="false" customHeight="false" outlineLevel="0" collapsed="false">
      <c r="A144" s="5" t="s">
        <v>338</v>
      </c>
      <c r="B144" s="5" t="s">
        <v>339</v>
      </c>
      <c r="C144" s="5" t="s">
        <v>267</v>
      </c>
      <c r="D144" s="5" t="s">
        <v>268</v>
      </c>
      <c r="E144" s="5" t="s">
        <v>269</v>
      </c>
      <c r="F144" s="5" t="s">
        <v>94</v>
      </c>
      <c r="G144" s="5"/>
      <c r="H144" s="5"/>
    </row>
    <row r="145" customFormat="false" ht="15" hidden="false" customHeight="false" outlineLevel="0" collapsed="false">
      <c r="A145" s="5" t="s">
        <v>338</v>
      </c>
      <c r="B145" s="5" t="s">
        <v>339</v>
      </c>
      <c r="C145" s="5" t="s">
        <v>238</v>
      </c>
      <c r="D145" s="5" t="s">
        <v>239</v>
      </c>
      <c r="E145" s="5" t="s">
        <v>240</v>
      </c>
      <c r="F145" s="5" t="s">
        <v>94</v>
      </c>
      <c r="G145" s="5"/>
      <c r="H145" s="5"/>
    </row>
    <row r="146" customFormat="false" ht="15" hidden="false" customHeight="false" outlineLevel="0" collapsed="false">
      <c r="A146" s="5" t="s">
        <v>338</v>
      </c>
      <c r="B146" s="5" t="s">
        <v>339</v>
      </c>
      <c r="C146" s="5" t="s">
        <v>241</v>
      </c>
      <c r="D146" s="5" t="s">
        <v>242</v>
      </c>
      <c r="E146" s="5" t="s">
        <v>75</v>
      </c>
      <c r="F146" s="5" t="s">
        <v>94</v>
      </c>
      <c r="G146" s="5" t="s">
        <v>418</v>
      </c>
      <c r="H146" s="5" t="s">
        <v>419</v>
      </c>
    </row>
    <row r="147" customFormat="false" ht="15" hidden="false" customHeight="false" outlineLevel="0" collapsed="false">
      <c r="A147" s="5" t="s">
        <v>338</v>
      </c>
      <c r="B147" s="5" t="s">
        <v>339</v>
      </c>
      <c r="C147" s="5" t="s">
        <v>243</v>
      </c>
      <c r="D147" s="5" t="s">
        <v>244</v>
      </c>
      <c r="E147" s="5" t="s">
        <v>240</v>
      </c>
      <c r="F147" s="5" t="s">
        <v>94</v>
      </c>
      <c r="G147" s="5" t="s">
        <v>418</v>
      </c>
      <c r="H147" s="5" t="s">
        <v>420</v>
      </c>
    </row>
    <row r="148" customFormat="false" ht="15" hidden="false" customHeight="false" outlineLevel="0" collapsed="false">
      <c r="A148" s="5" t="s">
        <v>338</v>
      </c>
      <c r="B148" s="5" t="s">
        <v>339</v>
      </c>
      <c r="C148" s="5" t="s">
        <v>421</v>
      </c>
      <c r="D148" s="5" t="s">
        <v>422</v>
      </c>
      <c r="E148" s="5" t="s">
        <v>235</v>
      </c>
      <c r="F148" s="5" t="s">
        <v>94</v>
      </c>
      <c r="G148" s="5"/>
      <c r="H148" s="5"/>
    </row>
    <row r="149" customFormat="false" ht="15" hidden="false" customHeight="false" outlineLevel="0" collapsed="false">
      <c r="A149" s="5" t="s">
        <v>338</v>
      </c>
      <c r="B149" s="5" t="s">
        <v>339</v>
      </c>
      <c r="C149" s="5" t="s">
        <v>423</v>
      </c>
      <c r="D149" s="5" t="s">
        <v>424</v>
      </c>
      <c r="E149" s="5" t="s">
        <v>235</v>
      </c>
      <c r="F149" s="5" t="s">
        <v>94</v>
      </c>
      <c r="G149" s="5"/>
      <c r="H149" s="5"/>
    </row>
    <row r="150" customFormat="false" ht="15" hidden="false" customHeight="false" outlineLevel="0" collapsed="false">
      <c r="A150" s="5" t="s">
        <v>338</v>
      </c>
      <c r="B150" s="5" t="s">
        <v>339</v>
      </c>
      <c r="C150" s="5" t="s">
        <v>281</v>
      </c>
      <c r="D150" s="5" t="s">
        <v>282</v>
      </c>
      <c r="E150" s="5" t="s">
        <v>283</v>
      </c>
      <c r="F150" s="5" t="s">
        <v>94</v>
      </c>
      <c r="G150" s="5" t="s">
        <v>357</v>
      </c>
      <c r="H150" s="5"/>
    </row>
    <row r="151" customFormat="false" ht="23.85" hidden="false" customHeight="false" outlineLevel="0" collapsed="false">
      <c r="A151" s="5" t="s">
        <v>338</v>
      </c>
      <c r="B151" s="5" t="s">
        <v>339</v>
      </c>
      <c r="C151" s="5" t="s">
        <v>425</v>
      </c>
      <c r="D151" s="5" t="s">
        <v>426</v>
      </c>
      <c r="E151" s="5" t="s">
        <v>283</v>
      </c>
      <c r="F151" s="5" t="s">
        <v>94</v>
      </c>
      <c r="G151" s="5" t="s">
        <v>427</v>
      </c>
      <c r="H151" s="5"/>
    </row>
    <row r="152" customFormat="false" ht="23.85" hidden="false" customHeight="false" outlineLevel="0" collapsed="false">
      <c r="A152" s="5" t="s">
        <v>338</v>
      </c>
      <c r="B152" s="5" t="s">
        <v>339</v>
      </c>
      <c r="C152" s="5" t="s">
        <v>428</v>
      </c>
      <c r="D152" s="5" t="s">
        <v>429</v>
      </c>
      <c r="E152" s="5" t="s">
        <v>396</v>
      </c>
      <c r="F152" s="5" t="s">
        <v>94</v>
      </c>
      <c r="G152" s="5" t="s">
        <v>430</v>
      </c>
      <c r="H152" s="5"/>
    </row>
    <row r="153" customFormat="false" ht="23.85" hidden="false" customHeight="false" outlineLevel="0" collapsed="false">
      <c r="A153" s="5" t="s">
        <v>338</v>
      </c>
      <c r="B153" s="5" t="s">
        <v>339</v>
      </c>
      <c r="C153" s="5" t="s">
        <v>431</v>
      </c>
      <c r="D153" s="5" t="s">
        <v>432</v>
      </c>
      <c r="E153" s="5" t="s">
        <v>93</v>
      </c>
      <c r="F153" s="5" t="s">
        <v>94</v>
      </c>
      <c r="G153" s="5" t="s">
        <v>433</v>
      </c>
      <c r="H153" s="5"/>
    </row>
    <row r="154" customFormat="false" ht="23.85" hidden="false" customHeight="false" outlineLevel="0" collapsed="false">
      <c r="A154" s="5" t="s">
        <v>338</v>
      </c>
      <c r="B154" s="5" t="s">
        <v>339</v>
      </c>
      <c r="C154" s="5" t="s">
        <v>434</v>
      </c>
      <c r="D154" s="5" t="s">
        <v>435</v>
      </c>
      <c r="E154" s="5" t="s">
        <v>93</v>
      </c>
      <c r="F154" s="5" t="s">
        <v>94</v>
      </c>
      <c r="G154" s="5" t="s">
        <v>436</v>
      </c>
      <c r="H154" s="5"/>
    </row>
    <row r="155" customFormat="false" ht="23.85" hidden="false" customHeight="false" outlineLevel="0" collapsed="false">
      <c r="A155" s="12" t="s">
        <v>437</v>
      </c>
      <c r="B155" s="12" t="s">
        <v>438</v>
      </c>
      <c r="C155" s="12" t="s">
        <v>67</v>
      </c>
      <c r="D155" s="12"/>
      <c r="E155" s="12"/>
      <c r="F155" s="12"/>
      <c r="G155" s="12"/>
      <c r="H155" s="12" t="s">
        <v>439</v>
      </c>
    </row>
    <row r="156" customFormat="false" ht="15" hidden="false" customHeight="false" outlineLevel="0" collapsed="false">
      <c r="A156" s="5" t="s">
        <v>437</v>
      </c>
      <c r="B156" s="5" t="s">
        <v>438</v>
      </c>
      <c r="C156" s="5" t="s">
        <v>79</v>
      </c>
      <c r="D156" s="5" t="s">
        <v>70</v>
      </c>
      <c r="E156" s="5" t="s">
        <v>99</v>
      </c>
      <c r="F156" s="5" t="s">
        <v>62</v>
      </c>
      <c r="G156" s="5"/>
      <c r="H156" s="5" t="s">
        <v>440</v>
      </c>
    </row>
    <row r="157" customFormat="false" ht="15" hidden="false" customHeight="false" outlineLevel="0" collapsed="false">
      <c r="A157" s="5" t="s">
        <v>437</v>
      </c>
      <c r="B157" s="5" t="s">
        <v>438</v>
      </c>
      <c r="C157" s="5" t="s">
        <v>338</v>
      </c>
      <c r="D157" s="5" t="s">
        <v>339</v>
      </c>
      <c r="E157" s="5" t="s">
        <v>366</v>
      </c>
      <c r="F157" s="5" t="s">
        <v>62</v>
      </c>
      <c r="G157" s="5" t="s">
        <v>441</v>
      </c>
      <c r="H157" s="5"/>
    </row>
    <row r="158" customFormat="false" ht="15" hidden="false" customHeight="false" outlineLevel="0" collapsed="false">
      <c r="A158" s="5" t="s">
        <v>437</v>
      </c>
      <c r="B158" s="5" t="s">
        <v>438</v>
      </c>
      <c r="C158" s="5" t="s">
        <v>222</v>
      </c>
      <c r="D158" s="5" t="s">
        <v>316</v>
      </c>
      <c r="E158" s="5" t="s">
        <v>328</v>
      </c>
      <c r="F158" s="5" t="s">
        <v>62</v>
      </c>
      <c r="G158" s="5"/>
      <c r="H158" s="5"/>
    </row>
    <row r="159" customFormat="false" ht="15" hidden="false" customHeight="false" outlineLevel="0" collapsed="false">
      <c r="A159" s="5" t="s">
        <v>437</v>
      </c>
      <c r="B159" s="5" t="s">
        <v>438</v>
      </c>
      <c r="C159" s="5" t="s">
        <v>329</v>
      </c>
      <c r="D159" s="5" t="s">
        <v>330</v>
      </c>
      <c r="E159" s="5" t="s">
        <v>283</v>
      </c>
      <c r="F159" s="5" t="s">
        <v>62</v>
      </c>
      <c r="G159" s="5" t="s">
        <v>374</v>
      </c>
      <c r="H159" s="5"/>
    </row>
    <row r="160" customFormat="false" ht="15" hidden="false" customHeight="false" outlineLevel="0" collapsed="false">
      <c r="A160" s="5" t="s">
        <v>437</v>
      </c>
      <c r="B160" s="5" t="s">
        <v>438</v>
      </c>
      <c r="C160" s="5" t="s">
        <v>331</v>
      </c>
      <c r="D160" s="5" t="s">
        <v>332</v>
      </c>
      <c r="E160" s="5" t="s">
        <v>240</v>
      </c>
      <c r="F160" s="5" t="s">
        <v>94</v>
      </c>
      <c r="G160" s="5"/>
      <c r="H160" s="5"/>
    </row>
    <row r="161" customFormat="false" ht="15" hidden="false" customHeight="false" outlineLevel="0" collapsed="false">
      <c r="A161" s="5" t="s">
        <v>437</v>
      </c>
      <c r="B161" s="5" t="s">
        <v>438</v>
      </c>
      <c r="C161" s="5" t="s">
        <v>333</v>
      </c>
      <c r="D161" s="5" t="s">
        <v>334</v>
      </c>
      <c r="E161" s="5" t="s">
        <v>283</v>
      </c>
      <c r="F161" s="5" t="s">
        <v>94</v>
      </c>
      <c r="G161" s="5" t="s">
        <v>374</v>
      </c>
      <c r="H161" s="5" t="s">
        <v>442</v>
      </c>
    </row>
    <row r="162" customFormat="false" ht="15" hidden="false" customHeight="false" outlineLevel="0" collapsed="false">
      <c r="A162" s="5" t="s">
        <v>437</v>
      </c>
      <c r="B162" s="5" t="s">
        <v>438</v>
      </c>
      <c r="C162" s="5" t="s">
        <v>336</v>
      </c>
      <c r="D162" s="5" t="s">
        <v>337</v>
      </c>
      <c r="E162" s="5" t="s">
        <v>283</v>
      </c>
      <c r="F162" s="5" t="s">
        <v>94</v>
      </c>
      <c r="G162" s="5" t="s">
        <v>374</v>
      </c>
      <c r="H162" s="5" t="s">
        <v>442</v>
      </c>
    </row>
    <row r="163" customFormat="false" ht="35.05" hidden="false" customHeight="false" outlineLevel="0" collapsed="false">
      <c r="A163" s="12" t="s">
        <v>443</v>
      </c>
      <c r="B163" s="12" t="s">
        <v>444</v>
      </c>
      <c r="C163" s="12" t="s">
        <v>67</v>
      </c>
      <c r="D163" s="12"/>
      <c r="E163" s="12"/>
      <c r="F163" s="12"/>
      <c r="G163" s="12"/>
      <c r="H163" s="12" t="s">
        <v>445</v>
      </c>
    </row>
    <row r="164" customFormat="false" ht="15" hidden="false" customHeight="false" outlineLevel="0" collapsed="false">
      <c r="A164" s="5" t="s">
        <v>443</v>
      </c>
      <c r="B164" s="5" t="s">
        <v>444</v>
      </c>
      <c r="C164" s="5" t="s">
        <v>79</v>
      </c>
      <c r="D164" s="5" t="s">
        <v>70</v>
      </c>
      <c r="E164" s="5" t="s">
        <v>80</v>
      </c>
      <c r="F164" s="5" t="s">
        <v>62</v>
      </c>
      <c r="G164" s="5"/>
      <c r="H164" s="5" t="s">
        <v>446</v>
      </c>
    </row>
    <row r="165" customFormat="false" ht="15" hidden="false" customHeight="false" outlineLevel="0" collapsed="false">
      <c r="A165" s="5" t="s">
        <v>443</v>
      </c>
      <c r="B165" s="5" t="s">
        <v>444</v>
      </c>
      <c r="C165" s="5" t="s">
        <v>447</v>
      </c>
      <c r="D165" s="5" t="s">
        <v>448</v>
      </c>
      <c r="E165" s="5" t="s">
        <v>369</v>
      </c>
      <c r="F165" s="5" t="s">
        <v>62</v>
      </c>
      <c r="G165" s="5"/>
      <c r="H165" s="5" t="s">
        <v>449</v>
      </c>
    </row>
    <row r="166" customFormat="false" ht="23.85" hidden="false" customHeight="false" outlineLevel="0" collapsed="false">
      <c r="A166" s="5" t="s">
        <v>443</v>
      </c>
      <c r="B166" s="5" t="s">
        <v>444</v>
      </c>
      <c r="C166" s="5" t="s">
        <v>450</v>
      </c>
      <c r="D166" s="5" t="s">
        <v>451</v>
      </c>
      <c r="E166" s="5" t="s">
        <v>452</v>
      </c>
      <c r="F166" s="5" t="s">
        <v>62</v>
      </c>
      <c r="G166" s="5"/>
      <c r="H166" s="5"/>
    </row>
    <row r="167" customFormat="false" ht="15" hidden="false" customHeight="false" outlineLevel="0" collapsed="false">
      <c r="A167" s="5" t="s">
        <v>443</v>
      </c>
      <c r="B167" s="5" t="s">
        <v>444</v>
      </c>
      <c r="C167" s="5" t="s">
        <v>65</v>
      </c>
      <c r="D167" s="5" t="s">
        <v>66</v>
      </c>
      <c r="E167" s="5" t="s">
        <v>120</v>
      </c>
      <c r="F167" s="5" t="s">
        <v>94</v>
      </c>
      <c r="G167" s="5"/>
      <c r="H167" s="5" t="s">
        <v>453</v>
      </c>
    </row>
    <row r="168" customFormat="false" ht="23.85" hidden="false" customHeight="false" outlineLevel="0" collapsed="false">
      <c r="A168" s="5" t="s">
        <v>443</v>
      </c>
      <c r="B168" s="5" t="s">
        <v>444</v>
      </c>
      <c r="C168" s="5" t="s">
        <v>454</v>
      </c>
      <c r="D168" s="5" t="s">
        <v>455</v>
      </c>
      <c r="E168" s="5" t="s">
        <v>140</v>
      </c>
      <c r="F168" s="5" t="s">
        <v>62</v>
      </c>
      <c r="G168" s="5"/>
      <c r="H168" s="5" t="s">
        <v>456</v>
      </c>
    </row>
    <row r="169" customFormat="false" ht="23.85" hidden="false" customHeight="false" outlineLevel="0" collapsed="false">
      <c r="A169" s="5" t="s">
        <v>443</v>
      </c>
      <c r="B169" s="5" t="s">
        <v>444</v>
      </c>
      <c r="C169" s="5" t="s">
        <v>457</v>
      </c>
      <c r="D169" s="5" t="s">
        <v>458</v>
      </c>
      <c r="E169" s="5" t="s">
        <v>459</v>
      </c>
      <c r="F169" s="5" t="s">
        <v>94</v>
      </c>
      <c r="G169" s="5"/>
      <c r="H169" s="5" t="s">
        <v>460</v>
      </c>
    </row>
    <row r="170" customFormat="false" ht="23.85" hidden="false" customHeight="false" outlineLevel="0" collapsed="false">
      <c r="A170" s="5" t="s">
        <v>443</v>
      </c>
      <c r="B170" s="5" t="s">
        <v>444</v>
      </c>
      <c r="C170" s="5" t="s">
        <v>461</v>
      </c>
      <c r="D170" s="5" t="s">
        <v>462</v>
      </c>
      <c r="E170" s="5" t="s">
        <v>463</v>
      </c>
      <c r="F170" s="5" t="s">
        <v>94</v>
      </c>
      <c r="G170" s="5"/>
      <c r="H170" s="5" t="s">
        <v>464</v>
      </c>
    </row>
    <row r="171" customFormat="false" ht="23.85" hidden="false" customHeight="false" outlineLevel="0" collapsed="false">
      <c r="A171" s="12" t="s">
        <v>465</v>
      </c>
      <c r="B171" s="12" t="s">
        <v>466</v>
      </c>
      <c r="C171" s="12" t="s">
        <v>67</v>
      </c>
      <c r="D171" s="12"/>
      <c r="E171" s="12"/>
      <c r="F171" s="12"/>
      <c r="G171" s="12"/>
      <c r="H171" s="12" t="s">
        <v>467</v>
      </c>
    </row>
    <row r="172" customFormat="false" ht="15" hidden="false" customHeight="false" outlineLevel="0" collapsed="false">
      <c r="A172" s="5" t="s">
        <v>465</v>
      </c>
      <c r="B172" s="5" t="s">
        <v>466</v>
      </c>
      <c r="C172" s="5" t="s">
        <v>79</v>
      </c>
      <c r="D172" s="5" t="s">
        <v>70</v>
      </c>
      <c r="E172" s="5" t="s">
        <v>80</v>
      </c>
      <c r="F172" s="5" t="s">
        <v>62</v>
      </c>
      <c r="G172" s="5"/>
      <c r="H172" s="5"/>
    </row>
    <row r="173" customFormat="false" ht="15" hidden="false" customHeight="false" outlineLevel="0" collapsed="false">
      <c r="A173" s="5" t="s">
        <v>465</v>
      </c>
      <c r="B173" s="5" t="s">
        <v>466</v>
      </c>
      <c r="C173" s="5" t="s">
        <v>468</v>
      </c>
      <c r="D173" s="5" t="s">
        <v>469</v>
      </c>
      <c r="E173" s="5" t="s">
        <v>192</v>
      </c>
      <c r="F173" s="5" t="s">
        <v>62</v>
      </c>
      <c r="G173" s="5"/>
      <c r="H173" s="5"/>
    </row>
    <row r="174" customFormat="false" ht="15" hidden="false" customHeight="false" outlineLevel="0" collapsed="false">
      <c r="A174" s="5" t="s">
        <v>465</v>
      </c>
      <c r="B174" s="5" t="s">
        <v>466</v>
      </c>
      <c r="C174" s="5" t="s">
        <v>470</v>
      </c>
      <c r="D174" s="5" t="s">
        <v>471</v>
      </c>
      <c r="E174" s="5" t="s">
        <v>472</v>
      </c>
      <c r="F174" s="5" t="s">
        <v>62</v>
      </c>
      <c r="G174" s="5"/>
      <c r="H174" s="5"/>
    </row>
    <row r="175" customFormat="false" ht="15" hidden="false" customHeight="false" outlineLevel="0" collapsed="false">
      <c r="A175" s="5" t="s">
        <v>465</v>
      </c>
      <c r="B175" s="5" t="s">
        <v>466</v>
      </c>
      <c r="C175" s="5" t="s">
        <v>473</v>
      </c>
      <c r="D175" s="5" t="s">
        <v>474</v>
      </c>
      <c r="E175" s="5" t="s">
        <v>472</v>
      </c>
      <c r="F175" s="5" t="s">
        <v>62</v>
      </c>
      <c r="G175" s="5"/>
      <c r="H175" s="5"/>
    </row>
    <row r="176" customFormat="false" ht="15" hidden="false" customHeight="false" outlineLevel="0" collapsed="false">
      <c r="A176" s="5" t="s">
        <v>465</v>
      </c>
      <c r="B176" s="5" t="s">
        <v>466</v>
      </c>
      <c r="C176" s="5" t="s">
        <v>475</v>
      </c>
      <c r="D176" s="5" t="s">
        <v>476</v>
      </c>
      <c r="E176" s="5" t="s">
        <v>472</v>
      </c>
      <c r="F176" s="5" t="s">
        <v>62</v>
      </c>
      <c r="G176" s="5"/>
      <c r="H176" s="5"/>
    </row>
    <row r="177" customFormat="false" ht="15" hidden="false" customHeight="false" outlineLevel="0" collapsed="false">
      <c r="A177" s="5" t="s">
        <v>465</v>
      </c>
      <c r="B177" s="5" t="s">
        <v>466</v>
      </c>
      <c r="C177" s="5" t="s">
        <v>477</v>
      </c>
      <c r="D177" s="5" t="s">
        <v>478</v>
      </c>
      <c r="E177" s="5" t="s">
        <v>472</v>
      </c>
      <c r="F177" s="5" t="s">
        <v>62</v>
      </c>
      <c r="G177" s="5"/>
      <c r="H177" s="5"/>
    </row>
    <row r="178" customFormat="false" ht="15" hidden="false" customHeight="false" outlineLevel="0" collapsed="false">
      <c r="A178" s="5" t="s">
        <v>465</v>
      </c>
      <c r="B178" s="5" t="s">
        <v>466</v>
      </c>
      <c r="C178" s="5" t="s">
        <v>479</v>
      </c>
      <c r="D178" s="5" t="s">
        <v>480</v>
      </c>
      <c r="E178" s="5" t="s">
        <v>472</v>
      </c>
      <c r="F178" s="5" t="s">
        <v>62</v>
      </c>
      <c r="G178" s="5"/>
      <c r="H178" s="5"/>
    </row>
    <row r="179" customFormat="false" ht="23.85" hidden="false" customHeight="false" outlineLevel="0" collapsed="false">
      <c r="A179" s="5" t="s">
        <v>465</v>
      </c>
      <c r="B179" s="5" t="s">
        <v>466</v>
      </c>
      <c r="C179" s="5" t="s">
        <v>481</v>
      </c>
      <c r="D179" s="5" t="s">
        <v>482</v>
      </c>
      <c r="E179" s="5" t="s">
        <v>483</v>
      </c>
      <c r="F179" s="5" t="s">
        <v>62</v>
      </c>
      <c r="G179" s="5"/>
      <c r="H179" s="5"/>
    </row>
    <row r="180" customFormat="false" ht="15" hidden="false" customHeight="false" outlineLevel="0" collapsed="false">
      <c r="A180" s="5" t="s">
        <v>465</v>
      </c>
      <c r="B180" s="5" t="s">
        <v>466</v>
      </c>
      <c r="C180" s="5" t="s">
        <v>484</v>
      </c>
      <c r="D180" s="5" t="s">
        <v>485</v>
      </c>
      <c r="E180" s="5" t="s">
        <v>93</v>
      </c>
      <c r="F180" s="5" t="s">
        <v>94</v>
      </c>
      <c r="G180" s="5"/>
      <c r="H180" s="5"/>
    </row>
    <row r="181" customFormat="false" ht="15" hidden="false" customHeight="false" outlineLevel="0" collapsed="false">
      <c r="A181" s="5" t="s">
        <v>465</v>
      </c>
      <c r="B181" s="5" t="s">
        <v>466</v>
      </c>
      <c r="C181" s="5" t="s">
        <v>486</v>
      </c>
      <c r="D181" s="5" t="s">
        <v>487</v>
      </c>
      <c r="E181" s="5" t="s">
        <v>93</v>
      </c>
      <c r="F181" s="5" t="s">
        <v>94</v>
      </c>
      <c r="G181" s="5"/>
      <c r="H181" s="5"/>
    </row>
    <row r="182" customFormat="false" ht="15" hidden="false" customHeight="false" outlineLevel="0" collapsed="false">
      <c r="A182" s="5" t="s">
        <v>465</v>
      </c>
      <c r="B182" s="5" t="s">
        <v>466</v>
      </c>
      <c r="C182" s="5" t="s">
        <v>488</v>
      </c>
      <c r="D182" s="5" t="s">
        <v>489</v>
      </c>
      <c r="E182" s="5" t="s">
        <v>93</v>
      </c>
      <c r="F182" s="5" t="s">
        <v>94</v>
      </c>
      <c r="G182" s="5"/>
      <c r="H182" s="5"/>
    </row>
    <row r="183" customFormat="false" ht="15" hidden="false" customHeight="false" outlineLevel="0" collapsed="false">
      <c r="A183" s="5" t="s">
        <v>465</v>
      </c>
      <c r="B183" s="5" t="s">
        <v>466</v>
      </c>
      <c r="C183" s="5" t="s">
        <v>490</v>
      </c>
      <c r="D183" s="5" t="s">
        <v>491</v>
      </c>
      <c r="E183" s="5" t="s">
        <v>93</v>
      </c>
      <c r="F183" s="5" t="s">
        <v>94</v>
      </c>
      <c r="G183" s="5"/>
      <c r="H183" s="5"/>
    </row>
    <row r="184" customFormat="false" ht="15" hidden="false" customHeight="false" outlineLevel="0" collapsed="false">
      <c r="A184" s="5" t="s">
        <v>465</v>
      </c>
      <c r="B184" s="5" t="s">
        <v>466</v>
      </c>
      <c r="C184" s="5" t="s">
        <v>492</v>
      </c>
      <c r="D184" s="5" t="s">
        <v>493</v>
      </c>
      <c r="E184" s="5" t="s">
        <v>494</v>
      </c>
      <c r="F184" s="5" t="s">
        <v>62</v>
      </c>
      <c r="G184" s="5"/>
      <c r="H184" s="5"/>
    </row>
    <row r="185" customFormat="false" ht="23.85" hidden="false" customHeight="false" outlineLevel="0" collapsed="false">
      <c r="A185" s="5" t="s">
        <v>465</v>
      </c>
      <c r="B185" s="5" t="s">
        <v>466</v>
      </c>
      <c r="C185" s="5" t="s">
        <v>495</v>
      </c>
      <c r="D185" s="5" t="s">
        <v>496</v>
      </c>
      <c r="E185" s="5" t="s">
        <v>497</v>
      </c>
      <c r="F185" s="5" t="s">
        <v>62</v>
      </c>
      <c r="G185" s="5"/>
      <c r="H185" s="5"/>
    </row>
    <row r="186" customFormat="false" ht="15" hidden="false" customHeight="false" outlineLevel="0" collapsed="false">
      <c r="A186" s="5" t="s">
        <v>465</v>
      </c>
      <c r="B186" s="5" t="s">
        <v>466</v>
      </c>
      <c r="C186" s="5" t="s">
        <v>498</v>
      </c>
      <c r="D186" s="5" t="s">
        <v>499</v>
      </c>
      <c r="E186" s="5" t="s">
        <v>84</v>
      </c>
      <c r="F186" s="5" t="s">
        <v>62</v>
      </c>
      <c r="G186" s="5"/>
      <c r="H186" s="5"/>
    </row>
    <row r="187" customFormat="false" ht="23.85" hidden="false" customHeight="false" outlineLevel="0" collapsed="false">
      <c r="A187" s="12" t="s">
        <v>500</v>
      </c>
      <c r="B187" s="12" t="s">
        <v>501</v>
      </c>
      <c r="C187" s="12" t="s">
        <v>67</v>
      </c>
      <c r="D187" s="12"/>
      <c r="E187" s="12"/>
      <c r="F187" s="12"/>
      <c r="G187" s="12"/>
      <c r="H187" s="12" t="s">
        <v>502</v>
      </c>
    </row>
    <row r="188" customFormat="false" ht="15" hidden="false" customHeight="false" outlineLevel="0" collapsed="false">
      <c r="A188" s="5" t="s">
        <v>500</v>
      </c>
      <c r="B188" s="5" t="s">
        <v>501</v>
      </c>
      <c r="C188" s="5" t="s">
        <v>447</v>
      </c>
      <c r="D188" s="5" t="s">
        <v>70</v>
      </c>
      <c r="E188" s="5" t="s">
        <v>503</v>
      </c>
      <c r="F188" s="5" t="s">
        <v>62</v>
      </c>
      <c r="G188" s="5" t="s">
        <v>180</v>
      </c>
      <c r="H188" s="5" t="s">
        <v>449</v>
      </c>
    </row>
    <row r="189" customFormat="false" ht="15" hidden="false" customHeight="false" outlineLevel="0" collapsed="false">
      <c r="A189" s="5" t="s">
        <v>500</v>
      </c>
      <c r="B189" s="5" t="s">
        <v>501</v>
      </c>
      <c r="C189" s="5" t="s">
        <v>126</v>
      </c>
      <c r="D189" s="5" t="s">
        <v>127</v>
      </c>
      <c r="E189" s="5" t="s">
        <v>504</v>
      </c>
      <c r="F189" s="5" t="s">
        <v>62</v>
      </c>
      <c r="G189" s="5"/>
      <c r="H189" s="5"/>
    </row>
    <row r="190" customFormat="false" ht="15" hidden="false" customHeight="false" outlineLevel="0" collapsed="false">
      <c r="A190" s="5" t="s">
        <v>500</v>
      </c>
      <c r="B190" s="5" t="s">
        <v>501</v>
      </c>
      <c r="C190" s="5" t="s">
        <v>505</v>
      </c>
      <c r="D190" s="5" t="s">
        <v>506</v>
      </c>
      <c r="E190" s="5" t="s">
        <v>140</v>
      </c>
      <c r="F190" s="5" t="s">
        <v>62</v>
      </c>
      <c r="G190" s="5"/>
      <c r="H190" s="5"/>
    </row>
    <row r="191" customFormat="false" ht="15" hidden="false" customHeight="false" outlineLevel="0" collapsed="false">
      <c r="A191" s="5" t="s">
        <v>500</v>
      </c>
      <c r="B191" s="5" t="s">
        <v>501</v>
      </c>
      <c r="C191" s="5" t="s">
        <v>507</v>
      </c>
      <c r="D191" s="5" t="s">
        <v>508</v>
      </c>
      <c r="E191" s="5" t="s">
        <v>124</v>
      </c>
      <c r="F191" s="5" t="s">
        <v>94</v>
      </c>
      <c r="G191" s="5"/>
      <c r="H191" s="5"/>
    </row>
    <row r="192" customFormat="false" ht="15" hidden="false" customHeight="false" outlineLevel="0" collapsed="false">
      <c r="A192" s="5" t="s">
        <v>500</v>
      </c>
      <c r="B192" s="5" t="s">
        <v>501</v>
      </c>
      <c r="C192" s="5" t="s">
        <v>509</v>
      </c>
      <c r="D192" s="5" t="s">
        <v>510</v>
      </c>
      <c r="E192" s="5" t="s">
        <v>140</v>
      </c>
      <c r="F192" s="5" t="s">
        <v>94</v>
      </c>
      <c r="G192" s="5"/>
      <c r="H192" s="5"/>
    </row>
    <row r="193" customFormat="false" ht="15" hidden="false" customHeight="false" outlineLevel="0" collapsed="false">
      <c r="A193" s="5" t="s">
        <v>500</v>
      </c>
      <c r="B193" s="5" t="s">
        <v>501</v>
      </c>
      <c r="C193" s="5" t="s">
        <v>511</v>
      </c>
      <c r="D193" s="5" t="s">
        <v>512</v>
      </c>
      <c r="E193" s="5" t="s">
        <v>513</v>
      </c>
      <c r="F193" s="5" t="s">
        <v>62</v>
      </c>
      <c r="G193" s="5"/>
      <c r="H193" s="5"/>
    </row>
    <row r="194" customFormat="false" ht="15" hidden="false" customHeight="false" outlineLevel="0" collapsed="false">
      <c r="A194" s="5" t="s">
        <v>500</v>
      </c>
      <c r="B194" s="5" t="s">
        <v>501</v>
      </c>
      <c r="C194" s="5" t="s">
        <v>514</v>
      </c>
      <c r="D194" s="5" t="s">
        <v>515</v>
      </c>
      <c r="E194" s="5" t="s">
        <v>93</v>
      </c>
      <c r="F194" s="5" t="s">
        <v>94</v>
      </c>
      <c r="G194" s="5"/>
      <c r="H194" s="5"/>
    </row>
    <row r="195" customFormat="false" ht="15" hidden="false" customHeight="false" outlineLevel="0" collapsed="false">
      <c r="A195" s="12" t="s">
        <v>516</v>
      </c>
      <c r="B195" s="12" t="s">
        <v>517</v>
      </c>
      <c r="C195" s="12" t="s">
        <v>67</v>
      </c>
      <c r="D195" s="12"/>
      <c r="E195" s="12"/>
      <c r="F195" s="12"/>
      <c r="G195" s="12"/>
      <c r="H195" s="12"/>
    </row>
    <row r="196" customFormat="false" ht="15" hidden="false" customHeight="false" outlineLevel="0" collapsed="false">
      <c r="A196" s="5" t="s">
        <v>516</v>
      </c>
      <c r="B196" s="5" t="s">
        <v>517</v>
      </c>
      <c r="C196" s="5" t="s">
        <v>79</v>
      </c>
      <c r="D196" s="5" t="s">
        <v>70</v>
      </c>
      <c r="E196" s="5" t="s">
        <v>99</v>
      </c>
      <c r="F196" s="5" t="s">
        <v>62</v>
      </c>
      <c r="G196" s="5"/>
      <c r="H196" s="5" t="s">
        <v>518</v>
      </c>
    </row>
    <row r="197" customFormat="false" ht="15" hidden="false" customHeight="false" outlineLevel="0" collapsed="false">
      <c r="A197" s="5" t="s">
        <v>516</v>
      </c>
      <c r="B197" s="5" t="s">
        <v>517</v>
      </c>
      <c r="C197" s="5" t="s">
        <v>519</v>
      </c>
      <c r="D197" s="5" t="s">
        <v>520</v>
      </c>
      <c r="E197" s="5" t="s">
        <v>521</v>
      </c>
      <c r="F197" s="5" t="s">
        <v>62</v>
      </c>
      <c r="G197" s="5"/>
      <c r="H197" s="5"/>
    </row>
    <row r="198" customFormat="false" ht="15" hidden="false" customHeight="false" outlineLevel="0" collapsed="false">
      <c r="A198" s="5" t="s">
        <v>516</v>
      </c>
      <c r="B198" s="5" t="s">
        <v>517</v>
      </c>
      <c r="C198" s="5" t="s">
        <v>522</v>
      </c>
      <c r="D198" s="5" t="s">
        <v>523</v>
      </c>
      <c r="E198" s="5" t="s">
        <v>124</v>
      </c>
      <c r="F198" s="5" t="s">
        <v>62</v>
      </c>
      <c r="G198" s="5"/>
      <c r="H198" s="5"/>
    </row>
    <row r="199" customFormat="false" ht="15" hidden="false" customHeight="false" outlineLevel="0" collapsed="false">
      <c r="A199" s="5" t="s">
        <v>516</v>
      </c>
      <c r="B199" s="5" t="s">
        <v>517</v>
      </c>
      <c r="C199" s="5" t="s">
        <v>524</v>
      </c>
      <c r="D199" s="5" t="s">
        <v>525</v>
      </c>
      <c r="E199" s="5" t="s">
        <v>93</v>
      </c>
      <c r="F199" s="5" t="s">
        <v>94</v>
      </c>
      <c r="G199" s="5"/>
      <c r="H199" s="5" t="s">
        <v>526</v>
      </c>
    </row>
    <row r="200" customFormat="false" ht="15" hidden="false" customHeight="false" outlineLevel="0" collapsed="false">
      <c r="A200" s="5" t="s">
        <v>516</v>
      </c>
      <c r="B200" s="5" t="s">
        <v>517</v>
      </c>
      <c r="C200" s="5" t="s">
        <v>527</v>
      </c>
      <c r="D200" s="5" t="s">
        <v>528</v>
      </c>
      <c r="E200" s="5" t="s">
        <v>529</v>
      </c>
      <c r="F200" s="5" t="s">
        <v>94</v>
      </c>
      <c r="G200" s="5"/>
      <c r="H200" s="5"/>
    </row>
    <row r="201" customFormat="false" ht="15" hidden="false" customHeight="false" outlineLevel="0" collapsed="false">
      <c r="A201" s="5" t="s">
        <v>516</v>
      </c>
      <c r="B201" s="5" t="s">
        <v>517</v>
      </c>
      <c r="C201" s="5" t="s">
        <v>530</v>
      </c>
      <c r="D201" s="5" t="s">
        <v>531</v>
      </c>
      <c r="E201" s="5" t="s">
        <v>84</v>
      </c>
      <c r="F201" s="5" t="s">
        <v>94</v>
      </c>
      <c r="G201" s="5"/>
      <c r="H201" s="5"/>
    </row>
    <row r="202" customFormat="false" ht="15" hidden="false" customHeight="false" outlineLevel="0" collapsed="false">
      <c r="A202" s="5" t="s">
        <v>516</v>
      </c>
      <c r="B202" s="5" t="s">
        <v>517</v>
      </c>
      <c r="C202" s="5" t="s">
        <v>532</v>
      </c>
      <c r="D202" s="5" t="s">
        <v>533</v>
      </c>
      <c r="E202" s="5" t="s">
        <v>93</v>
      </c>
      <c r="F202" s="5" t="s">
        <v>94</v>
      </c>
      <c r="G202" s="5"/>
      <c r="H202" s="5"/>
    </row>
    <row r="203" customFormat="false" ht="15" hidden="false" customHeight="false" outlineLevel="0" collapsed="false">
      <c r="A203" s="5" t="s">
        <v>516</v>
      </c>
      <c r="B203" s="5" t="s">
        <v>517</v>
      </c>
      <c r="C203" s="5" t="s">
        <v>394</v>
      </c>
      <c r="D203" s="5" t="s">
        <v>395</v>
      </c>
      <c r="E203" s="5" t="s">
        <v>534</v>
      </c>
      <c r="F203" s="5" t="s">
        <v>94</v>
      </c>
      <c r="G203" s="5"/>
      <c r="H203" s="5"/>
    </row>
    <row r="204" customFormat="false" ht="15" hidden="false" customHeight="false" outlineLevel="0" collapsed="false">
      <c r="A204" s="5" t="s">
        <v>516</v>
      </c>
      <c r="B204" s="5" t="s">
        <v>517</v>
      </c>
      <c r="C204" s="5" t="s">
        <v>535</v>
      </c>
      <c r="D204" s="5" t="s">
        <v>536</v>
      </c>
      <c r="E204" s="5" t="s">
        <v>93</v>
      </c>
      <c r="F204" s="5" t="s">
        <v>94</v>
      </c>
      <c r="G204" s="5"/>
      <c r="H204" s="5"/>
    </row>
    <row r="205" customFormat="false" ht="15" hidden="false" customHeight="false" outlineLevel="0" collapsed="false">
      <c r="A205" s="5" t="s">
        <v>516</v>
      </c>
      <c r="B205" s="5" t="s">
        <v>517</v>
      </c>
      <c r="C205" s="5" t="s">
        <v>537</v>
      </c>
      <c r="D205" s="5" t="s">
        <v>538</v>
      </c>
      <c r="E205" s="5" t="s">
        <v>93</v>
      </c>
      <c r="F205" s="5" t="s">
        <v>94</v>
      </c>
      <c r="G205" s="5"/>
      <c r="H205" s="5"/>
    </row>
    <row r="206" customFormat="false" ht="15" hidden="false" customHeight="false" outlineLevel="0" collapsed="false">
      <c r="A206" s="5" t="s">
        <v>516</v>
      </c>
      <c r="B206" s="5" t="s">
        <v>517</v>
      </c>
      <c r="C206" s="5" t="s">
        <v>381</v>
      </c>
      <c r="D206" s="5" t="s">
        <v>539</v>
      </c>
      <c r="E206" s="5" t="s">
        <v>93</v>
      </c>
      <c r="F206" s="5" t="s">
        <v>94</v>
      </c>
      <c r="G206" s="5"/>
      <c r="H206" s="5"/>
    </row>
    <row r="207" customFormat="false" ht="15" hidden="false" customHeight="false" outlineLevel="0" collapsed="false">
      <c r="A207" s="5" t="s">
        <v>516</v>
      </c>
      <c r="B207" s="5" t="s">
        <v>517</v>
      </c>
      <c r="C207" s="5" t="s">
        <v>540</v>
      </c>
      <c r="D207" s="5" t="s">
        <v>337</v>
      </c>
      <c r="E207" s="5" t="s">
        <v>93</v>
      </c>
      <c r="F207" s="5" t="s">
        <v>94</v>
      </c>
      <c r="G207" s="5"/>
      <c r="H207" s="5"/>
    </row>
    <row r="208" customFormat="false" ht="15" hidden="false" customHeight="false" outlineLevel="0" collapsed="false">
      <c r="A208" s="5" t="s">
        <v>516</v>
      </c>
      <c r="B208" s="5" t="s">
        <v>517</v>
      </c>
      <c r="C208" s="5" t="s">
        <v>541</v>
      </c>
      <c r="D208" s="5" t="s">
        <v>542</v>
      </c>
      <c r="E208" s="5" t="s">
        <v>534</v>
      </c>
      <c r="F208" s="5" t="s">
        <v>94</v>
      </c>
      <c r="G208" s="5"/>
      <c r="H208" s="5"/>
    </row>
    <row r="209" customFormat="false" ht="15" hidden="false" customHeight="false" outlineLevel="0" collapsed="false">
      <c r="A209" s="5" t="s">
        <v>516</v>
      </c>
      <c r="B209" s="5" t="s">
        <v>517</v>
      </c>
      <c r="C209" s="5" t="s">
        <v>543</v>
      </c>
      <c r="D209" s="5" t="s">
        <v>544</v>
      </c>
      <c r="E209" s="5" t="s">
        <v>534</v>
      </c>
      <c r="F209" s="5" t="s">
        <v>94</v>
      </c>
      <c r="G209" s="5"/>
      <c r="H209" s="5"/>
    </row>
    <row r="210" customFormat="false" ht="15" hidden="false" customHeight="false" outlineLevel="0" collapsed="false">
      <c r="A210" s="5" t="s">
        <v>516</v>
      </c>
      <c r="B210" s="5" t="s">
        <v>517</v>
      </c>
      <c r="C210" s="5" t="s">
        <v>545</v>
      </c>
      <c r="D210" s="5" t="s">
        <v>546</v>
      </c>
      <c r="E210" s="5" t="s">
        <v>534</v>
      </c>
      <c r="F210" s="5" t="s">
        <v>94</v>
      </c>
      <c r="G210" s="5"/>
      <c r="H210" s="5"/>
    </row>
    <row r="211" customFormat="false" ht="15" hidden="false" customHeight="false" outlineLevel="0" collapsed="false">
      <c r="A211" s="5" t="s">
        <v>516</v>
      </c>
      <c r="B211" s="5" t="s">
        <v>517</v>
      </c>
      <c r="C211" s="5" t="s">
        <v>547</v>
      </c>
      <c r="D211" s="5" t="s">
        <v>548</v>
      </c>
      <c r="E211" s="5" t="s">
        <v>534</v>
      </c>
      <c r="F211" s="5" t="s">
        <v>94</v>
      </c>
      <c r="G211" s="5"/>
      <c r="H211" s="5"/>
    </row>
    <row r="212" customFormat="false" ht="15" hidden="false" customHeight="false" outlineLevel="0" collapsed="false">
      <c r="A212" s="5" t="s">
        <v>516</v>
      </c>
      <c r="B212" s="5" t="s">
        <v>517</v>
      </c>
      <c r="C212" s="5" t="s">
        <v>549</v>
      </c>
      <c r="D212" s="5" t="s">
        <v>550</v>
      </c>
      <c r="E212" s="5" t="s">
        <v>534</v>
      </c>
      <c r="F212" s="5" t="s">
        <v>94</v>
      </c>
      <c r="G212" s="5"/>
      <c r="H212" s="5"/>
    </row>
    <row r="213" customFormat="false" ht="15" hidden="false" customHeight="false" outlineLevel="0" collapsed="false">
      <c r="A213" s="12" t="s">
        <v>551</v>
      </c>
      <c r="B213" s="12" t="s">
        <v>552</v>
      </c>
      <c r="C213" s="12" t="s">
        <v>67</v>
      </c>
      <c r="D213" s="12"/>
      <c r="E213" s="12"/>
      <c r="F213" s="12"/>
      <c r="G213" s="12"/>
      <c r="H213" s="12"/>
    </row>
    <row r="214" customFormat="false" ht="15" hidden="false" customHeight="false" outlineLevel="0" collapsed="false">
      <c r="A214" s="5" t="s">
        <v>551</v>
      </c>
      <c r="B214" s="5" t="s">
        <v>552</v>
      </c>
      <c r="C214" s="5" t="s">
        <v>79</v>
      </c>
      <c r="D214" s="5" t="s">
        <v>70</v>
      </c>
      <c r="E214" s="5" t="s">
        <v>80</v>
      </c>
      <c r="F214" s="5" t="s">
        <v>62</v>
      </c>
      <c r="G214" s="5"/>
      <c r="H214" s="5"/>
    </row>
    <row r="215" customFormat="false" ht="15" hidden="false" customHeight="false" outlineLevel="0" collapsed="false">
      <c r="A215" s="5" t="s">
        <v>551</v>
      </c>
      <c r="B215" s="5" t="s">
        <v>552</v>
      </c>
      <c r="C215" s="5" t="s">
        <v>519</v>
      </c>
      <c r="D215" s="5" t="s">
        <v>520</v>
      </c>
      <c r="E215" s="5" t="s">
        <v>521</v>
      </c>
      <c r="F215" s="5" t="s">
        <v>62</v>
      </c>
      <c r="G215" s="5"/>
      <c r="H215" s="5"/>
    </row>
    <row r="216" customFormat="false" ht="15" hidden="false" customHeight="false" outlineLevel="0" collapsed="false">
      <c r="A216" s="5" t="s">
        <v>551</v>
      </c>
      <c r="B216" s="5" t="s">
        <v>552</v>
      </c>
      <c r="C216" s="5" t="s">
        <v>454</v>
      </c>
      <c r="D216" s="5" t="s">
        <v>455</v>
      </c>
      <c r="E216" s="5" t="s">
        <v>140</v>
      </c>
      <c r="F216" s="5" t="s">
        <v>94</v>
      </c>
      <c r="G216" s="5"/>
      <c r="H216" s="5"/>
    </row>
    <row r="217" customFormat="false" ht="15" hidden="false" customHeight="false" outlineLevel="0" collapsed="false">
      <c r="A217" s="5" t="s">
        <v>551</v>
      </c>
      <c r="B217" s="5" t="s">
        <v>552</v>
      </c>
      <c r="C217" s="5" t="s">
        <v>553</v>
      </c>
      <c r="D217" s="5" t="s">
        <v>554</v>
      </c>
      <c r="E217" s="5" t="s">
        <v>140</v>
      </c>
      <c r="F217" s="5" t="s">
        <v>94</v>
      </c>
      <c r="G217" s="5"/>
      <c r="H217" s="5"/>
    </row>
    <row r="218" customFormat="false" ht="15" hidden="false" customHeight="false" outlineLevel="0" collapsed="false">
      <c r="A218" s="5" t="s">
        <v>551</v>
      </c>
      <c r="B218" s="5" t="s">
        <v>552</v>
      </c>
      <c r="C218" s="5" t="s">
        <v>555</v>
      </c>
      <c r="D218" s="5" t="s">
        <v>556</v>
      </c>
      <c r="E218" s="5" t="s">
        <v>124</v>
      </c>
      <c r="F218" s="5" t="s">
        <v>94</v>
      </c>
      <c r="G218" s="5"/>
      <c r="H218" s="5"/>
    </row>
    <row r="219" customFormat="false" ht="15" hidden="false" customHeight="false" outlineLevel="0" collapsed="false">
      <c r="A219" s="5" t="s">
        <v>551</v>
      </c>
      <c r="B219" s="5" t="s">
        <v>552</v>
      </c>
      <c r="C219" s="5" t="s">
        <v>557</v>
      </c>
      <c r="D219" s="5" t="s">
        <v>558</v>
      </c>
      <c r="E219" s="5" t="s">
        <v>199</v>
      </c>
      <c r="F219" s="5" t="s">
        <v>94</v>
      </c>
      <c r="G219" s="5"/>
      <c r="H219" s="5"/>
    </row>
    <row r="220" customFormat="false" ht="35.05" hidden="false" customHeight="false" outlineLevel="0" collapsed="false">
      <c r="A220" s="5" t="s">
        <v>551</v>
      </c>
      <c r="B220" s="5" t="s">
        <v>552</v>
      </c>
      <c r="C220" s="5" t="s">
        <v>559</v>
      </c>
      <c r="D220" s="5" t="s">
        <v>560</v>
      </c>
      <c r="E220" s="5" t="s">
        <v>561</v>
      </c>
      <c r="F220" s="5" t="s">
        <v>94</v>
      </c>
      <c r="G220" s="5"/>
      <c r="H220" s="5"/>
    </row>
    <row r="221" customFormat="false" ht="15" hidden="false" customHeight="false" outlineLevel="0" collapsed="false">
      <c r="A221" s="5" t="s">
        <v>551</v>
      </c>
      <c r="B221" s="5" t="s">
        <v>552</v>
      </c>
      <c r="C221" s="5" t="s">
        <v>562</v>
      </c>
      <c r="D221" s="5" t="s">
        <v>563</v>
      </c>
      <c r="E221" s="5" t="s">
        <v>400</v>
      </c>
      <c r="F221" s="5" t="s">
        <v>94</v>
      </c>
      <c r="G221" s="5"/>
      <c r="H221" s="5"/>
    </row>
    <row r="222" customFormat="false" ht="15" hidden="false" customHeight="false" outlineLevel="0" collapsed="false">
      <c r="A222" s="5" t="s">
        <v>551</v>
      </c>
      <c r="B222" s="5" t="s">
        <v>552</v>
      </c>
      <c r="C222" s="5" t="s">
        <v>564</v>
      </c>
      <c r="D222" s="5" t="s">
        <v>565</v>
      </c>
      <c r="E222" s="5" t="s">
        <v>93</v>
      </c>
      <c r="F222" s="5" t="s">
        <v>94</v>
      </c>
      <c r="G222" s="5"/>
      <c r="H222" s="5"/>
    </row>
    <row r="223" customFormat="false" ht="15" hidden="false" customHeight="false" outlineLevel="0" collapsed="false">
      <c r="A223" s="12" t="s">
        <v>566</v>
      </c>
      <c r="B223" s="12" t="s">
        <v>567</v>
      </c>
      <c r="C223" s="12" t="s">
        <v>67</v>
      </c>
      <c r="D223" s="12"/>
      <c r="E223" s="12"/>
      <c r="F223" s="12"/>
      <c r="G223" s="12"/>
      <c r="H223" s="12"/>
    </row>
    <row r="224" customFormat="false" ht="15" hidden="false" customHeight="false" outlineLevel="0" collapsed="false">
      <c r="A224" s="5" t="s">
        <v>566</v>
      </c>
      <c r="B224" s="5" t="s">
        <v>567</v>
      </c>
      <c r="C224" s="5" t="s">
        <v>79</v>
      </c>
      <c r="D224" s="5" t="s">
        <v>70</v>
      </c>
      <c r="E224" s="5" t="s">
        <v>80</v>
      </c>
      <c r="F224" s="5" t="s">
        <v>62</v>
      </c>
      <c r="G224" s="5"/>
      <c r="H224" s="5" t="s">
        <v>568</v>
      </c>
    </row>
    <row r="225" customFormat="false" ht="15" hidden="false" customHeight="false" outlineLevel="0" collapsed="false">
      <c r="A225" s="5" t="s">
        <v>566</v>
      </c>
      <c r="B225" s="5" t="s">
        <v>567</v>
      </c>
      <c r="C225" s="5" t="s">
        <v>569</v>
      </c>
      <c r="D225" s="5" t="s">
        <v>570</v>
      </c>
      <c r="E225" s="5" t="s">
        <v>84</v>
      </c>
      <c r="F225" s="5" t="s">
        <v>94</v>
      </c>
      <c r="G225" s="5"/>
      <c r="H225" s="5"/>
    </row>
    <row r="226" customFormat="false" ht="15" hidden="false" customHeight="false" outlineLevel="0" collapsed="false">
      <c r="A226" s="5" t="s">
        <v>566</v>
      </c>
      <c r="B226" s="5" t="s">
        <v>567</v>
      </c>
      <c r="C226" s="5" t="s">
        <v>571</v>
      </c>
      <c r="D226" s="5" t="s">
        <v>572</v>
      </c>
      <c r="E226" s="5" t="s">
        <v>84</v>
      </c>
      <c r="F226" s="5" t="s">
        <v>94</v>
      </c>
      <c r="G226" s="5"/>
      <c r="H226" s="5"/>
    </row>
    <row r="227" customFormat="false" ht="15" hidden="false" customHeight="false" outlineLevel="0" collapsed="false">
      <c r="A227" s="5" t="s">
        <v>566</v>
      </c>
      <c r="B227" s="5" t="s">
        <v>567</v>
      </c>
      <c r="C227" s="5" t="s">
        <v>573</v>
      </c>
      <c r="D227" s="5" t="s">
        <v>574</v>
      </c>
      <c r="E227" s="5" t="s">
        <v>84</v>
      </c>
      <c r="F227" s="5" t="s">
        <v>94</v>
      </c>
      <c r="G227" s="5"/>
      <c r="H227" s="5"/>
    </row>
    <row r="228" customFormat="false" ht="15" hidden="false" customHeight="false" outlineLevel="0" collapsed="false">
      <c r="A228" s="5" t="s">
        <v>566</v>
      </c>
      <c r="B228" s="5" t="s">
        <v>567</v>
      </c>
      <c r="C228" s="5" t="s">
        <v>575</v>
      </c>
      <c r="D228" s="5" t="s">
        <v>576</v>
      </c>
      <c r="E228" s="5" t="s">
        <v>577</v>
      </c>
      <c r="F228" s="5" t="s">
        <v>94</v>
      </c>
      <c r="G228" s="5"/>
      <c r="H228" s="5" t="s">
        <v>578</v>
      </c>
    </row>
    <row r="229" customFormat="false" ht="15" hidden="false" customHeight="false" outlineLevel="0" collapsed="false">
      <c r="A229" s="5" t="s">
        <v>566</v>
      </c>
      <c r="B229" s="5" t="s">
        <v>567</v>
      </c>
      <c r="C229" s="5" t="s">
        <v>559</v>
      </c>
      <c r="D229" s="5" t="s">
        <v>560</v>
      </c>
      <c r="E229" s="5" t="s">
        <v>579</v>
      </c>
      <c r="F229" s="5" t="s">
        <v>94</v>
      </c>
      <c r="G229" s="5"/>
      <c r="H229" s="5"/>
    </row>
    <row r="230" customFormat="false" ht="15" hidden="false" customHeight="false" outlineLevel="0" collapsed="false">
      <c r="A230" s="5" t="s">
        <v>566</v>
      </c>
      <c r="B230" s="5" t="s">
        <v>567</v>
      </c>
      <c r="C230" s="5" t="s">
        <v>580</v>
      </c>
      <c r="D230" s="5" t="s">
        <v>581</v>
      </c>
      <c r="E230" s="5" t="s">
        <v>582</v>
      </c>
      <c r="F230" s="5" t="s">
        <v>94</v>
      </c>
      <c r="G230" s="5"/>
      <c r="H230" s="5"/>
    </row>
    <row r="231" customFormat="false" ht="15" hidden="false" customHeight="false" outlineLevel="0" collapsed="false">
      <c r="A231" s="5" t="s">
        <v>566</v>
      </c>
      <c r="B231" s="5" t="s">
        <v>567</v>
      </c>
      <c r="C231" s="5" t="s">
        <v>583</v>
      </c>
      <c r="D231" s="5" t="s">
        <v>584</v>
      </c>
      <c r="E231" s="5" t="s">
        <v>301</v>
      </c>
      <c r="F231" s="5" t="s">
        <v>94</v>
      </c>
      <c r="G231" s="5"/>
      <c r="H231" s="5"/>
    </row>
    <row r="232" customFormat="false" ht="15" hidden="false" customHeight="false" outlineLevel="0" collapsed="false">
      <c r="A232" s="12" t="s">
        <v>585</v>
      </c>
      <c r="B232" s="12" t="s">
        <v>586</v>
      </c>
      <c r="C232" s="12" t="s">
        <v>67</v>
      </c>
      <c r="D232" s="12"/>
      <c r="E232" s="12"/>
      <c r="F232" s="12"/>
      <c r="G232" s="12"/>
      <c r="H232" s="12"/>
    </row>
    <row r="233" customFormat="false" ht="23.85" hidden="false" customHeight="false" outlineLevel="0" collapsed="false">
      <c r="A233" s="5" t="s">
        <v>585</v>
      </c>
      <c r="B233" s="5" t="s">
        <v>586</v>
      </c>
      <c r="C233" s="5" t="s">
        <v>587</v>
      </c>
      <c r="D233" s="5" t="s">
        <v>70</v>
      </c>
      <c r="E233" s="5" t="s">
        <v>588</v>
      </c>
      <c r="F233" s="5" t="s">
        <v>62</v>
      </c>
      <c r="G233" s="5"/>
      <c r="H233" s="5"/>
    </row>
    <row r="234" customFormat="false" ht="23.85" hidden="false" customHeight="false" outlineLevel="0" collapsed="false">
      <c r="A234" s="5" t="s">
        <v>585</v>
      </c>
      <c r="B234" s="5" t="s">
        <v>586</v>
      </c>
      <c r="C234" s="5" t="s">
        <v>589</v>
      </c>
      <c r="D234" s="5" t="s">
        <v>590</v>
      </c>
      <c r="E234" s="5" t="s">
        <v>591</v>
      </c>
      <c r="F234" s="5" t="s">
        <v>94</v>
      </c>
      <c r="G234" s="5"/>
      <c r="H234" s="5"/>
    </row>
    <row r="235" customFormat="false" ht="15" hidden="false" customHeight="false" outlineLevel="0" collapsed="false">
      <c r="A235" s="5" t="s">
        <v>585</v>
      </c>
      <c r="B235" s="5" t="s">
        <v>586</v>
      </c>
      <c r="C235" s="5" t="s">
        <v>175</v>
      </c>
      <c r="D235" s="5" t="s">
        <v>176</v>
      </c>
      <c r="E235" s="5" t="s">
        <v>327</v>
      </c>
      <c r="F235" s="5" t="s">
        <v>94</v>
      </c>
      <c r="G235" s="5"/>
      <c r="H235" s="5"/>
    </row>
    <row r="236" customFormat="false" ht="15" hidden="false" customHeight="false" outlineLevel="0" collapsed="false">
      <c r="A236" s="5" t="s">
        <v>585</v>
      </c>
      <c r="B236" s="5" t="s">
        <v>586</v>
      </c>
      <c r="C236" s="5" t="s">
        <v>147</v>
      </c>
      <c r="D236" s="5" t="s">
        <v>148</v>
      </c>
      <c r="E236" s="5" t="s">
        <v>174</v>
      </c>
      <c r="F236" s="5" t="s">
        <v>94</v>
      </c>
      <c r="G236" s="5"/>
      <c r="H236" s="5"/>
    </row>
    <row r="237" customFormat="false" ht="15" hidden="false" customHeight="false" outlineLevel="0" collapsed="false">
      <c r="A237" s="5" t="s">
        <v>585</v>
      </c>
      <c r="B237" s="5" t="s">
        <v>586</v>
      </c>
      <c r="C237" s="5" t="s">
        <v>65</v>
      </c>
      <c r="D237" s="5" t="s">
        <v>66</v>
      </c>
      <c r="E237" s="5" t="s">
        <v>120</v>
      </c>
      <c r="F237" s="5" t="s">
        <v>94</v>
      </c>
      <c r="G237" s="5"/>
      <c r="H237" s="5"/>
    </row>
    <row r="238" customFormat="false" ht="15" hidden="false" customHeight="false" outlineLevel="0" collapsed="false">
      <c r="A238" s="5" t="s">
        <v>585</v>
      </c>
      <c r="B238" s="5" t="s">
        <v>586</v>
      </c>
      <c r="C238" s="5" t="s">
        <v>592</v>
      </c>
      <c r="D238" s="5" t="s">
        <v>593</v>
      </c>
      <c r="E238" s="5" t="s">
        <v>124</v>
      </c>
      <c r="F238" s="5" t="s">
        <v>94</v>
      </c>
      <c r="G238" s="5"/>
      <c r="H238" s="5"/>
    </row>
    <row r="239" customFormat="false" ht="15" hidden="false" customHeight="false" outlineLevel="0" collapsed="false">
      <c r="A239" s="5" t="s">
        <v>585</v>
      </c>
      <c r="B239" s="5" t="s">
        <v>586</v>
      </c>
      <c r="C239" s="5" t="s">
        <v>594</v>
      </c>
      <c r="D239" s="5" t="s">
        <v>595</v>
      </c>
      <c r="E239" s="5" t="s">
        <v>596</v>
      </c>
      <c r="F239" s="5" t="s">
        <v>94</v>
      </c>
      <c r="G239" s="5"/>
      <c r="H239" s="5"/>
    </row>
    <row r="240" customFormat="false" ht="15" hidden="false" customHeight="false" outlineLevel="0" collapsed="false">
      <c r="A240" s="5" t="s">
        <v>585</v>
      </c>
      <c r="B240" s="5" t="s">
        <v>586</v>
      </c>
      <c r="C240" s="5" t="s">
        <v>597</v>
      </c>
      <c r="D240" s="5" t="s">
        <v>598</v>
      </c>
      <c r="E240" s="5" t="s">
        <v>577</v>
      </c>
      <c r="F240" s="5" t="s">
        <v>94</v>
      </c>
      <c r="G240" s="5"/>
      <c r="H240" s="5"/>
    </row>
    <row r="241" customFormat="false" ht="23.85" hidden="false" customHeight="false" outlineLevel="0" collapsed="false">
      <c r="A241" s="5" t="s">
        <v>585</v>
      </c>
      <c r="B241" s="5" t="s">
        <v>586</v>
      </c>
      <c r="C241" s="5" t="s">
        <v>126</v>
      </c>
      <c r="D241" s="5" t="s">
        <v>127</v>
      </c>
      <c r="E241" s="5" t="s">
        <v>599</v>
      </c>
      <c r="F241" s="5" t="s">
        <v>94</v>
      </c>
      <c r="G241" s="5"/>
      <c r="H241" s="5"/>
    </row>
    <row r="242" customFormat="false" ht="15" hidden="false" customHeight="false" outlineLevel="0" collapsed="false">
      <c r="A242" s="5" t="s">
        <v>585</v>
      </c>
      <c r="B242" s="5" t="s">
        <v>586</v>
      </c>
      <c r="C242" s="5" t="s">
        <v>600</v>
      </c>
      <c r="D242" s="5" t="s">
        <v>601</v>
      </c>
      <c r="E242" s="5" t="s">
        <v>124</v>
      </c>
      <c r="F242" s="5" t="s">
        <v>94</v>
      </c>
      <c r="G242" s="5"/>
      <c r="H242" s="5"/>
    </row>
    <row r="243" customFormat="false" ht="15" hidden="false" customHeight="false" outlineLevel="0" collapsed="false">
      <c r="A243" s="5" t="s">
        <v>585</v>
      </c>
      <c r="B243" s="5" t="s">
        <v>586</v>
      </c>
      <c r="C243" s="5" t="s">
        <v>602</v>
      </c>
      <c r="D243" s="5" t="s">
        <v>603</v>
      </c>
      <c r="E243" s="5" t="s">
        <v>140</v>
      </c>
      <c r="F243" s="5" t="s">
        <v>94</v>
      </c>
      <c r="G243" s="5"/>
      <c r="H243" s="5"/>
    </row>
    <row r="244" customFormat="false" ht="15" hidden="false" customHeight="false" outlineLevel="0" collapsed="false">
      <c r="A244" s="5" t="s">
        <v>585</v>
      </c>
      <c r="B244" s="5" t="s">
        <v>586</v>
      </c>
      <c r="C244" s="5" t="s">
        <v>604</v>
      </c>
      <c r="D244" s="5" t="s">
        <v>605</v>
      </c>
      <c r="E244" s="5" t="s">
        <v>112</v>
      </c>
      <c r="F244" s="5" t="s">
        <v>94</v>
      </c>
      <c r="G244" s="5"/>
      <c r="H244" s="5"/>
    </row>
    <row r="245" customFormat="false" ht="23.85" hidden="false" customHeight="false" outlineLevel="0" collapsed="false">
      <c r="A245" s="12" t="s">
        <v>606</v>
      </c>
      <c r="B245" s="12" t="s">
        <v>607</v>
      </c>
      <c r="C245" s="12" t="s">
        <v>67</v>
      </c>
      <c r="D245" s="12"/>
      <c r="E245" s="12"/>
      <c r="F245" s="12"/>
      <c r="G245" s="12"/>
      <c r="H245" s="12" t="s">
        <v>608</v>
      </c>
    </row>
    <row r="246" customFormat="false" ht="15" hidden="false" customHeight="false" outlineLevel="0" collapsed="false">
      <c r="A246" s="5" t="s">
        <v>606</v>
      </c>
      <c r="B246" s="5" t="s">
        <v>607</v>
      </c>
      <c r="C246" s="5" t="s">
        <v>79</v>
      </c>
      <c r="D246" s="5" t="s">
        <v>70</v>
      </c>
      <c r="E246" s="5" t="s">
        <v>99</v>
      </c>
      <c r="F246" s="5" t="s">
        <v>62</v>
      </c>
      <c r="G246" s="5"/>
      <c r="H246" s="5" t="s">
        <v>609</v>
      </c>
    </row>
    <row r="247" customFormat="false" ht="15" hidden="false" customHeight="false" outlineLevel="0" collapsed="false">
      <c r="A247" s="5" t="s">
        <v>606</v>
      </c>
      <c r="B247" s="5" t="s">
        <v>607</v>
      </c>
      <c r="C247" s="5" t="s">
        <v>610</v>
      </c>
      <c r="D247" s="5" t="s">
        <v>523</v>
      </c>
      <c r="E247" s="5" t="s">
        <v>124</v>
      </c>
      <c r="F247" s="5" t="s">
        <v>94</v>
      </c>
      <c r="G247" s="5"/>
      <c r="H247" s="5"/>
    </row>
    <row r="248" customFormat="false" ht="35.05" hidden="false" customHeight="false" outlineLevel="0" collapsed="false">
      <c r="A248" s="5" t="s">
        <v>606</v>
      </c>
      <c r="B248" s="5" t="s">
        <v>607</v>
      </c>
      <c r="C248" s="5" t="s">
        <v>32</v>
      </c>
      <c r="D248" s="5" t="s">
        <v>611</v>
      </c>
      <c r="E248" s="5" t="s">
        <v>612</v>
      </c>
      <c r="F248" s="5" t="s">
        <v>94</v>
      </c>
      <c r="G248" s="5"/>
      <c r="H248" s="5"/>
    </row>
    <row r="249" customFormat="false" ht="15" hidden="false" customHeight="false" outlineLevel="0" collapsed="false">
      <c r="A249" s="5" t="s">
        <v>606</v>
      </c>
      <c r="B249" s="5" t="s">
        <v>607</v>
      </c>
      <c r="C249" s="5" t="s">
        <v>613</v>
      </c>
      <c r="D249" s="5" t="s">
        <v>614</v>
      </c>
      <c r="E249" s="5" t="s">
        <v>140</v>
      </c>
      <c r="F249" s="5" t="s">
        <v>94</v>
      </c>
      <c r="G249" s="5"/>
      <c r="H249" s="5"/>
    </row>
    <row r="250" customFormat="false" ht="15" hidden="false" customHeight="false" outlineLevel="0" collapsed="false">
      <c r="A250" s="5" t="s">
        <v>606</v>
      </c>
      <c r="B250" s="5" t="s">
        <v>607</v>
      </c>
      <c r="C250" s="5" t="s">
        <v>615</v>
      </c>
      <c r="D250" s="5" t="s">
        <v>616</v>
      </c>
      <c r="E250" s="5" t="s">
        <v>107</v>
      </c>
      <c r="F250" s="5" t="s">
        <v>94</v>
      </c>
      <c r="G250" s="5"/>
      <c r="H250" s="5"/>
    </row>
    <row r="251" customFormat="false" ht="23.85" hidden="false" customHeight="false" outlineLevel="0" collapsed="false">
      <c r="A251" s="12" t="s">
        <v>617</v>
      </c>
      <c r="B251" s="12" t="s">
        <v>618</v>
      </c>
      <c r="C251" s="12" t="s">
        <v>67</v>
      </c>
      <c r="D251" s="12"/>
      <c r="E251" s="12"/>
      <c r="F251" s="12"/>
      <c r="G251" s="12"/>
      <c r="H251" s="12" t="s">
        <v>619</v>
      </c>
    </row>
    <row r="252" customFormat="false" ht="15" hidden="false" customHeight="false" outlineLevel="0" collapsed="false">
      <c r="A252" s="5" t="s">
        <v>617</v>
      </c>
      <c r="B252" s="5" t="s">
        <v>618</v>
      </c>
      <c r="C252" s="5" t="s">
        <v>620</v>
      </c>
      <c r="D252" s="5" t="s">
        <v>70</v>
      </c>
      <c r="E252" s="5" t="s">
        <v>99</v>
      </c>
      <c r="F252" s="5" t="s">
        <v>62</v>
      </c>
      <c r="G252" s="5"/>
      <c r="H252" s="5"/>
    </row>
    <row r="253" customFormat="false" ht="15" hidden="false" customHeight="false" outlineLevel="0" collapsed="false">
      <c r="A253" s="5" t="s">
        <v>617</v>
      </c>
      <c r="B253" s="5" t="s">
        <v>618</v>
      </c>
      <c r="C253" s="5" t="s">
        <v>621</v>
      </c>
      <c r="D253" s="5" t="s">
        <v>622</v>
      </c>
      <c r="E253" s="5" t="s">
        <v>623</v>
      </c>
      <c r="F253" s="5" t="s">
        <v>94</v>
      </c>
      <c r="G253" s="5"/>
      <c r="H253" s="5"/>
    </row>
    <row r="254" customFormat="false" ht="15" hidden="false" customHeight="false" outlineLevel="0" collapsed="false">
      <c r="A254" s="5" t="s">
        <v>617</v>
      </c>
      <c r="B254" s="5" t="s">
        <v>618</v>
      </c>
      <c r="C254" s="5" t="s">
        <v>624</v>
      </c>
      <c r="D254" s="5" t="s">
        <v>523</v>
      </c>
      <c r="E254" s="5" t="s">
        <v>124</v>
      </c>
      <c r="F254" s="5" t="s">
        <v>94</v>
      </c>
      <c r="G254" s="5"/>
      <c r="H254" s="5"/>
    </row>
    <row r="255" customFormat="false" ht="15" hidden="false" customHeight="false" outlineLevel="0" collapsed="false">
      <c r="A255" s="5" t="s">
        <v>617</v>
      </c>
      <c r="B255" s="5" t="s">
        <v>618</v>
      </c>
      <c r="C255" s="5" t="s">
        <v>625</v>
      </c>
      <c r="D255" s="5" t="s">
        <v>626</v>
      </c>
      <c r="E255" s="5" t="s">
        <v>140</v>
      </c>
      <c r="F255" s="5" t="s">
        <v>94</v>
      </c>
      <c r="G255" s="5"/>
      <c r="H255" s="5"/>
    </row>
    <row r="256" customFormat="false" ht="15" hidden="false" customHeight="false" outlineLevel="0" collapsed="false">
      <c r="A256" s="5" t="s">
        <v>617</v>
      </c>
      <c r="B256" s="5" t="s">
        <v>618</v>
      </c>
      <c r="C256" s="5" t="s">
        <v>57</v>
      </c>
      <c r="D256" s="5" t="s">
        <v>627</v>
      </c>
      <c r="E256" s="5" t="s">
        <v>75</v>
      </c>
      <c r="F256" s="5" t="s">
        <v>94</v>
      </c>
      <c r="G256" s="5"/>
      <c r="H256" s="5"/>
    </row>
    <row r="257" customFormat="false" ht="15" hidden="false" customHeight="false" outlineLevel="0" collapsed="false">
      <c r="A257" s="5" t="s">
        <v>617</v>
      </c>
      <c r="B257" s="5" t="s">
        <v>618</v>
      </c>
      <c r="C257" s="5" t="s">
        <v>628</v>
      </c>
      <c r="D257" s="5" t="s">
        <v>629</v>
      </c>
      <c r="E257" s="5" t="s">
        <v>75</v>
      </c>
      <c r="F257" s="5" t="s">
        <v>94</v>
      </c>
      <c r="G257" s="5"/>
      <c r="H257" s="5"/>
    </row>
    <row r="258" customFormat="false" ht="15" hidden="false" customHeight="false" outlineLevel="0" collapsed="false">
      <c r="A258" s="5" t="s">
        <v>617</v>
      </c>
      <c r="B258" s="5" t="s">
        <v>618</v>
      </c>
      <c r="C258" s="5" t="s">
        <v>630</v>
      </c>
      <c r="D258" s="5" t="s">
        <v>631</v>
      </c>
      <c r="E258" s="5" t="s">
        <v>301</v>
      </c>
      <c r="F258" s="5" t="s">
        <v>94</v>
      </c>
      <c r="G258" s="5"/>
      <c r="H258" s="5"/>
    </row>
    <row r="259" customFormat="false" ht="15" hidden="false" customHeight="false" outlineLevel="0" collapsed="false">
      <c r="A259" s="5" t="s">
        <v>617</v>
      </c>
      <c r="B259" s="5" t="s">
        <v>618</v>
      </c>
      <c r="C259" s="5" t="s">
        <v>632</v>
      </c>
      <c r="D259" s="5" t="s">
        <v>633</v>
      </c>
      <c r="E259" s="5" t="s">
        <v>301</v>
      </c>
      <c r="F259" s="5" t="s">
        <v>94</v>
      </c>
      <c r="G259" s="5"/>
      <c r="H259" s="5"/>
    </row>
    <row r="260" customFormat="false" ht="15" hidden="false" customHeight="false" outlineLevel="0" collapsed="false">
      <c r="A260" s="5" t="s">
        <v>617</v>
      </c>
      <c r="B260" s="5" t="s">
        <v>618</v>
      </c>
      <c r="C260" s="5" t="s">
        <v>634</v>
      </c>
      <c r="D260" s="5" t="s">
        <v>635</v>
      </c>
      <c r="E260" s="5" t="s">
        <v>577</v>
      </c>
      <c r="F260" s="5" t="s">
        <v>94</v>
      </c>
      <c r="G260" s="5"/>
      <c r="H260" s="5"/>
    </row>
  </sheetData>
  <autoFilter ref="A1:H26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8"/>
  </cols>
  <sheetData>
    <row r="1" customFormat="false" ht="15" hidden="false" customHeight="false" outlineLevel="0" collapsed="false">
      <c r="A1" s="13" t="s">
        <v>636</v>
      </c>
      <c r="B1" s="13" t="s">
        <v>637</v>
      </c>
      <c r="C1" s="13" t="s">
        <v>638</v>
      </c>
    </row>
    <row r="2" customFormat="false" ht="15" hidden="false" customHeight="false" outlineLevel="0" collapsed="false">
      <c r="A2" s="14" t="s">
        <v>639</v>
      </c>
      <c r="B2" s="14" t="s">
        <v>522</v>
      </c>
      <c r="C2" s="14" t="n">
        <v>1</v>
      </c>
    </row>
    <row r="3" customFormat="false" ht="15" hidden="false" customHeight="false" outlineLevel="0" collapsed="false">
      <c r="A3" s="14" t="s">
        <v>639</v>
      </c>
      <c r="B3" s="14" t="s">
        <v>640</v>
      </c>
      <c r="C3" s="14" t="n">
        <v>2</v>
      </c>
    </row>
    <row r="4" customFormat="false" ht="15" hidden="false" customHeight="false" outlineLevel="0" collapsed="false">
      <c r="A4" s="14" t="s">
        <v>639</v>
      </c>
      <c r="B4" s="14" t="s">
        <v>641</v>
      </c>
      <c r="C4" s="14" t="n">
        <v>3</v>
      </c>
    </row>
    <row r="5" customFormat="false" ht="15" hidden="false" customHeight="false" outlineLevel="0" collapsed="false">
      <c r="A5" s="14" t="s">
        <v>642</v>
      </c>
      <c r="B5" s="14" t="s">
        <v>82</v>
      </c>
      <c r="C5" s="14" t="n">
        <v>1</v>
      </c>
    </row>
    <row r="6" customFormat="false" ht="15" hidden="false" customHeight="false" outlineLevel="0" collapsed="false">
      <c r="A6" s="14" t="s">
        <v>642</v>
      </c>
      <c r="B6" s="14" t="s">
        <v>643</v>
      </c>
      <c r="C6" s="14" t="n">
        <v>2</v>
      </c>
    </row>
    <row r="7" customFormat="false" ht="15" hidden="false" customHeight="false" outlineLevel="0" collapsed="false">
      <c r="A7" s="14" t="s">
        <v>644</v>
      </c>
      <c r="B7" s="14" t="s">
        <v>82</v>
      </c>
      <c r="C7" s="14" t="n">
        <v>1</v>
      </c>
    </row>
    <row r="8" customFormat="false" ht="15" hidden="false" customHeight="false" outlineLevel="0" collapsed="false">
      <c r="A8" s="14" t="s">
        <v>644</v>
      </c>
      <c r="B8" s="14" t="s">
        <v>645</v>
      </c>
      <c r="C8" s="14" t="n">
        <v>2</v>
      </c>
    </row>
    <row r="9" customFormat="false" ht="15" hidden="false" customHeight="false" outlineLevel="0" collapsed="false">
      <c r="A9" s="14" t="s">
        <v>644</v>
      </c>
      <c r="B9" s="14" t="s">
        <v>646</v>
      </c>
      <c r="C9" s="14" t="n">
        <v>3</v>
      </c>
    </row>
    <row r="10" customFormat="false" ht="15" hidden="false" customHeight="false" outlineLevel="0" collapsed="false">
      <c r="A10" s="14" t="s">
        <v>647</v>
      </c>
      <c r="B10" s="14" t="s">
        <v>648</v>
      </c>
      <c r="C10" s="14" t="n">
        <v>1</v>
      </c>
    </row>
    <row r="11" customFormat="false" ht="15" hidden="false" customHeight="false" outlineLevel="0" collapsed="false">
      <c r="A11" s="14" t="s">
        <v>647</v>
      </c>
      <c r="B11" s="14" t="s">
        <v>649</v>
      </c>
      <c r="C11" s="14" t="n">
        <v>2</v>
      </c>
    </row>
    <row r="12" customFormat="false" ht="15" hidden="false" customHeight="false" outlineLevel="0" collapsed="false">
      <c r="A12" s="14" t="s">
        <v>351</v>
      </c>
      <c r="B12" s="14" t="s">
        <v>650</v>
      </c>
      <c r="C12" s="14" t="n">
        <v>1</v>
      </c>
    </row>
    <row r="13" customFormat="false" ht="15" hidden="false" customHeight="false" outlineLevel="0" collapsed="false">
      <c r="A13" s="14" t="s">
        <v>351</v>
      </c>
      <c r="B13" s="14" t="s">
        <v>651</v>
      </c>
      <c r="C13" s="14" t="n">
        <v>2</v>
      </c>
    </row>
    <row r="14" customFormat="false" ht="15" hidden="false" customHeight="false" outlineLevel="0" collapsed="false">
      <c r="A14" s="14" t="s">
        <v>351</v>
      </c>
      <c r="B14" s="14" t="s">
        <v>652</v>
      </c>
      <c r="C14" s="14" t="n">
        <v>3</v>
      </c>
    </row>
    <row r="15" customFormat="false" ht="15" hidden="false" customHeight="false" outlineLevel="0" collapsed="false">
      <c r="A15" s="14" t="s">
        <v>354</v>
      </c>
      <c r="B15" s="14" t="s">
        <v>653</v>
      </c>
      <c r="C15" s="14" t="n">
        <v>1</v>
      </c>
    </row>
    <row r="16" customFormat="false" ht="15" hidden="false" customHeight="false" outlineLevel="0" collapsed="false">
      <c r="A16" s="14" t="s">
        <v>354</v>
      </c>
      <c r="B16" s="14" t="s">
        <v>654</v>
      </c>
      <c r="C16" s="14" t="n">
        <v>2</v>
      </c>
    </row>
    <row r="17" customFormat="false" ht="15" hidden="false" customHeight="false" outlineLevel="0" collapsed="false">
      <c r="A17" s="14" t="s">
        <v>354</v>
      </c>
      <c r="B17" s="14" t="s">
        <v>655</v>
      </c>
      <c r="C17" s="14" t="n">
        <v>3</v>
      </c>
    </row>
    <row r="18" customFormat="false" ht="15" hidden="false" customHeight="false" outlineLevel="0" collapsed="false">
      <c r="A18" s="14" t="s">
        <v>354</v>
      </c>
      <c r="B18" s="14" t="s">
        <v>656</v>
      </c>
      <c r="C18" s="14" t="n">
        <v>4</v>
      </c>
    </row>
    <row r="19" customFormat="false" ht="15" hidden="false" customHeight="false" outlineLevel="0" collapsed="false">
      <c r="A19" s="14" t="s">
        <v>657</v>
      </c>
      <c r="B19" s="14" t="s">
        <v>658</v>
      </c>
      <c r="C19" s="14" t="n">
        <v>1</v>
      </c>
    </row>
    <row r="20" customFormat="false" ht="15" hidden="false" customHeight="false" outlineLevel="0" collapsed="false">
      <c r="A20" s="14" t="s">
        <v>657</v>
      </c>
      <c r="B20" s="14" t="s">
        <v>659</v>
      </c>
      <c r="C20" s="14" t="n">
        <v>2</v>
      </c>
    </row>
    <row r="21" customFormat="false" ht="15" hidden="false" customHeight="false" outlineLevel="0" collapsed="false">
      <c r="A21" s="14" t="s">
        <v>660</v>
      </c>
      <c r="B21" s="14" t="s">
        <v>661</v>
      </c>
      <c r="C21" s="14" t="n">
        <v>1</v>
      </c>
    </row>
    <row r="22" customFormat="false" ht="15" hidden="false" customHeight="false" outlineLevel="0" collapsed="false">
      <c r="A22" s="14" t="s">
        <v>660</v>
      </c>
      <c r="B22" s="14" t="s">
        <v>662</v>
      </c>
      <c r="C22" s="14" t="n">
        <v>2</v>
      </c>
    </row>
    <row r="23" customFormat="false" ht="15" hidden="false" customHeight="false" outlineLevel="0" collapsed="false">
      <c r="A23" s="14" t="s">
        <v>660</v>
      </c>
      <c r="B23" s="14" t="s">
        <v>663</v>
      </c>
      <c r="C23" s="14" t="n">
        <v>3</v>
      </c>
    </row>
    <row r="24" customFormat="false" ht="15" hidden="false" customHeight="false" outlineLevel="0" collapsed="false">
      <c r="A24" s="14" t="s">
        <v>660</v>
      </c>
      <c r="B24" s="14" t="s">
        <v>664</v>
      </c>
      <c r="C24" s="14" t="n">
        <v>4</v>
      </c>
    </row>
    <row r="25" customFormat="false" ht="15" hidden="false" customHeight="false" outlineLevel="0" collapsed="false">
      <c r="A25" s="14" t="s">
        <v>660</v>
      </c>
      <c r="B25" s="14" t="s">
        <v>665</v>
      </c>
      <c r="C25" s="14" t="n">
        <v>5</v>
      </c>
    </row>
    <row r="26" customFormat="false" ht="15" hidden="false" customHeight="false" outlineLevel="0" collapsed="false">
      <c r="A26" s="14" t="s">
        <v>660</v>
      </c>
      <c r="B26" s="14" t="s">
        <v>666</v>
      </c>
      <c r="C26" s="14" t="n">
        <v>6</v>
      </c>
    </row>
    <row r="27" customFormat="false" ht="15" hidden="false" customHeight="false" outlineLevel="0" collapsed="false">
      <c r="A27" s="14" t="s">
        <v>660</v>
      </c>
      <c r="B27" s="14" t="s">
        <v>667</v>
      </c>
      <c r="C27" s="14" t="n">
        <v>7</v>
      </c>
    </row>
    <row r="28" customFormat="false" ht="15" hidden="false" customHeight="false" outlineLevel="0" collapsed="false">
      <c r="A28" s="14" t="s">
        <v>660</v>
      </c>
      <c r="B28" s="14" t="s">
        <v>668</v>
      </c>
      <c r="C28" s="14" t="n">
        <v>8</v>
      </c>
    </row>
    <row r="29" customFormat="false" ht="15" hidden="false" customHeight="false" outlineLevel="0" collapsed="false">
      <c r="A29" s="14" t="s">
        <v>660</v>
      </c>
      <c r="B29" s="14" t="s">
        <v>669</v>
      </c>
      <c r="C29" s="14" t="n">
        <v>9</v>
      </c>
    </row>
    <row r="30" customFormat="false" ht="15" hidden="false" customHeight="false" outlineLevel="0" collapsed="false">
      <c r="A30" s="14" t="s">
        <v>670</v>
      </c>
      <c r="B30" s="14" t="s">
        <v>671</v>
      </c>
      <c r="C30" s="14" t="n">
        <v>1</v>
      </c>
    </row>
    <row r="31" customFormat="false" ht="15" hidden="false" customHeight="false" outlineLevel="0" collapsed="false">
      <c r="A31" s="14" t="s">
        <v>670</v>
      </c>
      <c r="B31" s="14" t="s">
        <v>672</v>
      </c>
      <c r="C31" s="14" t="n">
        <v>2</v>
      </c>
    </row>
    <row r="32" customFormat="false" ht="15" hidden="false" customHeight="false" outlineLevel="0" collapsed="false">
      <c r="A32" s="14" t="s">
        <v>670</v>
      </c>
      <c r="B32" s="14" t="s">
        <v>673</v>
      </c>
      <c r="C32" s="14" t="n">
        <v>3</v>
      </c>
    </row>
    <row r="33" customFormat="false" ht="15" hidden="false" customHeight="false" outlineLevel="0" collapsed="false">
      <c r="A33" s="14" t="s">
        <v>670</v>
      </c>
      <c r="B33" s="14" t="s">
        <v>674</v>
      </c>
      <c r="C33" s="14" t="n">
        <v>4</v>
      </c>
    </row>
    <row r="34" customFormat="false" ht="15" hidden="false" customHeight="false" outlineLevel="0" collapsed="false">
      <c r="A34" s="14" t="s">
        <v>670</v>
      </c>
      <c r="B34" s="14" t="s">
        <v>675</v>
      </c>
      <c r="C34" s="14" t="n">
        <v>5</v>
      </c>
    </row>
    <row r="35" customFormat="false" ht="15" hidden="false" customHeight="false" outlineLevel="0" collapsed="false">
      <c r="A35" s="14" t="s">
        <v>676</v>
      </c>
      <c r="B35" s="14" t="s">
        <v>677</v>
      </c>
      <c r="C35" s="14" t="n">
        <v>1</v>
      </c>
    </row>
    <row r="36" customFormat="false" ht="15" hidden="false" customHeight="false" outlineLevel="0" collapsed="false">
      <c r="A36" s="14" t="s">
        <v>676</v>
      </c>
      <c r="B36" s="14" t="s">
        <v>640</v>
      </c>
      <c r="C36" s="14" t="n">
        <v>2</v>
      </c>
    </row>
    <row r="37" customFormat="false" ht="15" hidden="false" customHeight="false" outlineLevel="0" collapsed="false">
      <c r="A37" s="14" t="s">
        <v>676</v>
      </c>
      <c r="B37" s="14" t="s">
        <v>678</v>
      </c>
      <c r="C37" s="14" t="n">
        <v>3</v>
      </c>
    </row>
    <row r="38" customFormat="false" ht="15" hidden="false" customHeight="false" outlineLevel="0" collapsed="false">
      <c r="A38" s="14" t="s">
        <v>676</v>
      </c>
      <c r="B38" s="14" t="s">
        <v>679</v>
      </c>
      <c r="C38" s="14" t="n">
        <v>4</v>
      </c>
    </row>
    <row r="39" customFormat="false" ht="15" hidden="false" customHeight="false" outlineLevel="0" collapsed="false">
      <c r="A39" s="14" t="s">
        <v>676</v>
      </c>
      <c r="B39" s="14" t="s">
        <v>680</v>
      </c>
      <c r="C39" s="14" t="n">
        <v>5</v>
      </c>
    </row>
    <row r="40" customFormat="false" ht="15" hidden="false" customHeight="false" outlineLevel="0" collapsed="false">
      <c r="A40" s="14" t="s">
        <v>676</v>
      </c>
      <c r="B40" s="14" t="s">
        <v>681</v>
      </c>
      <c r="C40" s="14" t="n">
        <v>6</v>
      </c>
    </row>
    <row r="41" customFormat="false" ht="15" hidden="false" customHeight="false" outlineLevel="0" collapsed="false">
      <c r="A41" s="14" t="s">
        <v>676</v>
      </c>
      <c r="B41" s="14" t="s">
        <v>669</v>
      </c>
      <c r="C41" s="14" t="n">
        <v>7</v>
      </c>
    </row>
    <row r="42" customFormat="false" ht="15" hidden="false" customHeight="false" outlineLevel="0" collapsed="false">
      <c r="A42" s="14" t="s">
        <v>450</v>
      </c>
      <c r="B42" s="14" t="s">
        <v>682</v>
      </c>
      <c r="C42" s="14" t="n">
        <v>1</v>
      </c>
    </row>
    <row r="43" customFormat="false" ht="15" hidden="false" customHeight="false" outlineLevel="0" collapsed="false">
      <c r="A43" s="14" t="s">
        <v>450</v>
      </c>
      <c r="B43" s="14" t="s">
        <v>683</v>
      </c>
      <c r="C43" s="14" t="n">
        <v>2</v>
      </c>
    </row>
    <row r="44" customFormat="false" ht="15" hidden="false" customHeight="false" outlineLevel="0" collapsed="false">
      <c r="A44" s="14" t="s">
        <v>450</v>
      </c>
      <c r="B44" s="14" t="s">
        <v>684</v>
      </c>
      <c r="C44" s="14" t="n">
        <v>3</v>
      </c>
    </row>
    <row r="45" customFormat="false" ht="15" hidden="false" customHeight="false" outlineLevel="0" collapsed="false">
      <c r="A45" s="14" t="s">
        <v>245</v>
      </c>
      <c r="B45" s="14" t="s">
        <v>685</v>
      </c>
      <c r="C45" s="14" t="n">
        <v>1</v>
      </c>
    </row>
    <row r="46" customFormat="false" ht="15" hidden="false" customHeight="false" outlineLevel="0" collapsed="false">
      <c r="A46" s="14" t="s">
        <v>245</v>
      </c>
      <c r="B46" s="14" t="s">
        <v>686</v>
      </c>
      <c r="C46" s="14" t="n">
        <v>2</v>
      </c>
    </row>
    <row r="47" customFormat="false" ht="15" hidden="false" customHeight="false" outlineLevel="0" collapsed="false">
      <c r="A47" s="14" t="s">
        <v>248</v>
      </c>
      <c r="B47" s="14" t="s">
        <v>687</v>
      </c>
      <c r="C47" s="14" t="n">
        <v>1</v>
      </c>
    </row>
    <row r="48" customFormat="false" ht="15" hidden="false" customHeight="false" outlineLevel="0" collapsed="false">
      <c r="A48" s="14" t="s">
        <v>248</v>
      </c>
      <c r="B48" s="14" t="s">
        <v>688</v>
      </c>
      <c r="C48" s="14" t="n">
        <v>2</v>
      </c>
    </row>
    <row r="49" customFormat="false" ht="15" hidden="false" customHeight="false" outlineLevel="0" collapsed="false">
      <c r="A49" s="14" t="s">
        <v>251</v>
      </c>
      <c r="B49" s="14" t="s">
        <v>689</v>
      </c>
      <c r="C49" s="14" t="n">
        <v>1</v>
      </c>
    </row>
    <row r="50" customFormat="false" ht="15" hidden="false" customHeight="false" outlineLevel="0" collapsed="false">
      <c r="A50" s="14" t="s">
        <v>251</v>
      </c>
      <c r="B50" s="14" t="s">
        <v>690</v>
      </c>
      <c r="C50" s="14" t="n">
        <v>2</v>
      </c>
    </row>
    <row r="51" customFormat="false" ht="15" hidden="false" customHeight="false" outlineLevel="0" collapsed="false">
      <c r="A51" s="14" t="s">
        <v>251</v>
      </c>
      <c r="B51" s="14" t="s">
        <v>691</v>
      </c>
      <c r="C51" s="14" t="n">
        <v>3</v>
      </c>
    </row>
    <row r="52" customFormat="false" ht="15" hidden="false" customHeight="false" outlineLevel="0" collapsed="false">
      <c r="A52" s="14" t="s">
        <v>251</v>
      </c>
      <c r="B52" s="14" t="s">
        <v>692</v>
      </c>
      <c r="C52" s="14" t="n">
        <v>4</v>
      </c>
    </row>
    <row r="53" customFormat="false" ht="15" hidden="false" customHeight="false" outlineLevel="0" collapsed="false">
      <c r="A53" s="14" t="s">
        <v>254</v>
      </c>
      <c r="B53" s="14" t="s">
        <v>693</v>
      </c>
      <c r="C53" s="14" t="n">
        <v>1</v>
      </c>
    </row>
    <row r="54" customFormat="false" ht="15" hidden="false" customHeight="false" outlineLevel="0" collapsed="false">
      <c r="A54" s="14" t="s">
        <v>254</v>
      </c>
      <c r="B54" s="14" t="s">
        <v>694</v>
      </c>
      <c r="C54" s="14" t="n">
        <v>2</v>
      </c>
    </row>
    <row r="55" customFormat="false" ht="15" hidden="false" customHeight="false" outlineLevel="0" collapsed="false">
      <c r="A55" s="14" t="s">
        <v>287</v>
      </c>
      <c r="B55" s="14" t="s">
        <v>695</v>
      </c>
      <c r="C55" s="14" t="n">
        <v>1</v>
      </c>
    </row>
    <row r="56" customFormat="false" ht="15" hidden="false" customHeight="false" outlineLevel="0" collapsed="false">
      <c r="A56" s="14" t="s">
        <v>287</v>
      </c>
      <c r="B56" s="14" t="s">
        <v>696</v>
      </c>
      <c r="C56" s="14" t="n">
        <v>2</v>
      </c>
    </row>
    <row r="57" customFormat="false" ht="15" hidden="false" customHeight="false" outlineLevel="0" collapsed="false">
      <c r="A57" s="14" t="s">
        <v>287</v>
      </c>
      <c r="B57" s="14" t="s">
        <v>697</v>
      </c>
      <c r="C57" s="14" t="n">
        <v>3</v>
      </c>
    </row>
    <row r="58" customFormat="false" ht="15" hidden="false" customHeight="false" outlineLevel="0" collapsed="false">
      <c r="A58" s="14" t="s">
        <v>287</v>
      </c>
      <c r="B58" s="14" t="s">
        <v>698</v>
      </c>
      <c r="C58" s="14" t="n">
        <v>4</v>
      </c>
    </row>
    <row r="59" customFormat="false" ht="15" hidden="false" customHeight="false" outlineLevel="0" collapsed="false">
      <c r="A59" s="14" t="s">
        <v>287</v>
      </c>
      <c r="B59" s="14" t="s">
        <v>699</v>
      </c>
      <c r="C59" s="14" t="n">
        <v>5</v>
      </c>
    </row>
    <row r="60" customFormat="false" ht="15" hidden="false" customHeight="false" outlineLevel="0" collapsed="false">
      <c r="A60" s="14" t="s">
        <v>287</v>
      </c>
      <c r="B60" s="14" t="s">
        <v>700</v>
      </c>
      <c r="C60" s="14" t="n">
        <v>6</v>
      </c>
    </row>
    <row r="61" customFormat="false" ht="15" hidden="false" customHeight="false" outlineLevel="0" collapsed="false">
      <c r="A61" s="14" t="s">
        <v>287</v>
      </c>
      <c r="B61" s="14" t="s">
        <v>701</v>
      </c>
      <c r="C61" s="14" t="n">
        <v>7</v>
      </c>
    </row>
    <row r="62" customFormat="false" ht="15" hidden="false" customHeight="false" outlineLevel="0" collapsed="false">
      <c r="A62" s="14" t="s">
        <v>287</v>
      </c>
      <c r="B62" s="14" t="s">
        <v>669</v>
      </c>
      <c r="C62" s="14" t="n">
        <v>8</v>
      </c>
    </row>
    <row r="63" customFormat="false" ht="15" hidden="false" customHeight="false" outlineLevel="0" collapsed="false">
      <c r="A63" s="14" t="s">
        <v>702</v>
      </c>
      <c r="B63" s="14" t="s">
        <v>703</v>
      </c>
      <c r="C63" s="14" t="n">
        <v>1</v>
      </c>
    </row>
    <row r="64" customFormat="false" ht="15" hidden="false" customHeight="false" outlineLevel="0" collapsed="false">
      <c r="A64" s="14" t="s">
        <v>702</v>
      </c>
      <c r="B64" s="14" t="s">
        <v>704</v>
      </c>
      <c r="C64" s="14" t="n">
        <v>2</v>
      </c>
    </row>
    <row r="65" customFormat="false" ht="15" hidden="false" customHeight="false" outlineLevel="0" collapsed="false">
      <c r="A65" s="14" t="s">
        <v>702</v>
      </c>
      <c r="B65" s="14" t="s">
        <v>705</v>
      </c>
      <c r="C65" s="14" t="n">
        <v>3</v>
      </c>
    </row>
    <row r="66" customFormat="false" ht="15" hidden="false" customHeight="false" outlineLevel="0" collapsed="false">
      <c r="A66" s="14" t="s">
        <v>702</v>
      </c>
      <c r="B66" s="14" t="s">
        <v>706</v>
      </c>
      <c r="C66" s="14" t="n">
        <v>4</v>
      </c>
    </row>
    <row r="67" customFormat="false" ht="15" hidden="false" customHeight="false" outlineLevel="0" collapsed="false">
      <c r="A67" s="14" t="s">
        <v>702</v>
      </c>
      <c r="B67" s="14" t="s">
        <v>707</v>
      </c>
      <c r="C67" s="14" t="n">
        <v>5</v>
      </c>
    </row>
    <row r="68" customFormat="false" ht="15" hidden="false" customHeight="false" outlineLevel="0" collapsed="false">
      <c r="A68" s="14" t="s">
        <v>702</v>
      </c>
      <c r="B68" s="14" t="s">
        <v>669</v>
      </c>
      <c r="C68" s="14" t="n">
        <v>6</v>
      </c>
    </row>
    <row r="69" customFormat="false" ht="15" hidden="false" customHeight="false" outlineLevel="0" collapsed="false">
      <c r="A69" s="14" t="s">
        <v>708</v>
      </c>
      <c r="B69" s="14" t="s">
        <v>709</v>
      </c>
      <c r="C69" s="14" t="n">
        <v>1</v>
      </c>
    </row>
    <row r="70" customFormat="false" ht="15" hidden="false" customHeight="false" outlineLevel="0" collapsed="false">
      <c r="A70" s="14" t="s">
        <v>708</v>
      </c>
      <c r="B70" s="14" t="s">
        <v>710</v>
      </c>
      <c r="C70" s="14" t="n">
        <v>2</v>
      </c>
    </row>
    <row r="71" customFormat="false" ht="15" hidden="false" customHeight="false" outlineLevel="0" collapsed="false">
      <c r="A71" s="14" t="s">
        <v>481</v>
      </c>
      <c r="B71" s="14" t="s">
        <v>711</v>
      </c>
      <c r="C71" s="14" t="n">
        <v>1</v>
      </c>
    </row>
    <row r="72" customFormat="false" ht="15" hidden="false" customHeight="false" outlineLevel="0" collapsed="false">
      <c r="A72" s="14" t="s">
        <v>481</v>
      </c>
      <c r="B72" s="14" t="s">
        <v>712</v>
      </c>
      <c r="C72" s="14" t="n">
        <v>2</v>
      </c>
    </row>
    <row r="73" customFormat="false" ht="15" hidden="false" customHeight="false" outlineLevel="0" collapsed="false">
      <c r="A73" s="14" t="s">
        <v>495</v>
      </c>
      <c r="B73" s="14" t="s">
        <v>713</v>
      </c>
      <c r="C73" s="14" t="n">
        <v>1</v>
      </c>
    </row>
    <row r="74" customFormat="false" ht="15" hidden="false" customHeight="false" outlineLevel="0" collapsed="false">
      <c r="A74" s="14" t="s">
        <v>495</v>
      </c>
      <c r="B74" s="14" t="s">
        <v>714</v>
      </c>
      <c r="C74" s="14" t="n">
        <v>2</v>
      </c>
    </row>
    <row r="75" customFormat="false" ht="15" hidden="false" customHeight="false" outlineLevel="0" collapsed="false">
      <c r="A75" s="14" t="s">
        <v>715</v>
      </c>
      <c r="B75" s="14" t="s">
        <v>716</v>
      </c>
      <c r="C75" s="14" t="n">
        <v>1</v>
      </c>
    </row>
    <row r="76" customFormat="false" ht="15" hidden="false" customHeight="false" outlineLevel="0" collapsed="false">
      <c r="A76" s="14" t="s">
        <v>715</v>
      </c>
      <c r="B76" s="14" t="s">
        <v>717</v>
      </c>
      <c r="C76" s="14" t="n">
        <v>2</v>
      </c>
    </row>
    <row r="77" customFormat="false" ht="15" hidden="false" customHeight="false" outlineLevel="0" collapsed="false">
      <c r="A77" s="14" t="s">
        <v>715</v>
      </c>
      <c r="B77" s="14" t="s">
        <v>718</v>
      </c>
      <c r="C77" s="14" t="n">
        <v>3</v>
      </c>
    </row>
    <row r="78" customFormat="false" ht="15" hidden="false" customHeight="false" outlineLevel="0" collapsed="false">
      <c r="A78" s="14" t="s">
        <v>715</v>
      </c>
      <c r="B78" s="14" t="s">
        <v>719</v>
      </c>
      <c r="C78" s="14" t="n">
        <v>4</v>
      </c>
    </row>
    <row r="79" customFormat="false" ht="15" hidden="false" customHeight="false" outlineLevel="0" collapsed="false">
      <c r="A79" s="14" t="s">
        <v>720</v>
      </c>
      <c r="B79" s="14" t="s">
        <v>721</v>
      </c>
      <c r="C79" s="14" t="n">
        <v>1</v>
      </c>
    </row>
    <row r="80" customFormat="false" ht="15" hidden="false" customHeight="false" outlineLevel="0" collapsed="false">
      <c r="A80" s="14" t="s">
        <v>720</v>
      </c>
      <c r="B80" s="14" t="s">
        <v>722</v>
      </c>
      <c r="C80" s="14" t="n">
        <v>2</v>
      </c>
    </row>
    <row r="81" customFormat="false" ht="15" hidden="false" customHeight="false" outlineLevel="0" collapsed="false">
      <c r="A81" s="14" t="s">
        <v>720</v>
      </c>
      <c r="B81" s="14" t="s">
        <v>723</v>
      </c>
      <c r="C81" s="14" t="n">
        <v>3</v>
      </c>
    </row>
    <row r="82" customFormat="false" ht="15" hidden="false" customHeight="false" outlineLevel="0" collapsed="false">
      <c r="A82" s="14" t="s">
        <v>720</v>
      </c>
      <c r="B82" s="14" t="s">
        <v>724</v>
      </c>
      <c r="C82" s="14" t="n">
        <v>4</v>
      </c>
    </row>
    <row r="83" customFormat="false" ht="15" hidden="false" customHeight="false" outlineLevel="0" collapsed="false">
      <c r="A83" s="14" t="s">
        <v>720</v>
      </c>
      <c r="B83" s="14" t="s">
        <v>725</v>
      </c>
      <c r="C83" s="14" t="n">
        <v>5</v>
      </c>
    </row>
    <row r="84" customFormat="false" ht="15" hidden="false" customHeight="false" outlineLevel="0" collapsed="false">
      <c r="A84" s="14" t="s">
        <v>720</v>
      </c>
      <c r="B84" s="14" t="s">
        <v>726</v>
      </c>
      <c r="C84" s="14" t="n">
        <v>6</v>
      </c>
    </row>
    <row r="85" customFormat="false" ht="15" hidden="false" customHeight="false" outlineLevel="0" collapsed="false">
      <c r="A85" s="14" t="s">
        <v>720</v>
      </c>
      <c r="B85" s="14" t="s">
        <v>727</v>
      </c>
      <c r="C85" s="14" t="n">
        <v>7</v>
      </c>
    </row>
    <row r="86" customFormat="false" ht="15" hidden="false" customHeight="false" outlineLevel="0" collapsed="false">
      <c r="A86" s="14" t="s">
        <v>720</v>
      </c>
      <c r="B86" s="14" t="s">
        <v>728</v>
      </c>
      <c r="C86" s="14" t="n">
        <v>8</v>
      </c>
    </row>
    <row r="87" customFormat="false" ht="15" hidden="false" customHeight="false" outlineLevel="0" collapsed="false">
      <c r="A87" s="14" t="s">
        <v>720</v>
      </c>
      <c r="B87" s="14" t="s">
        <v>729</v>
      </c>
      <c r="C87" s="14" t="n">
        <v>9</v>
      </c>
    </row>
    <row r="88" customFormat="false" ht="15" hidden="false" customHeight="false" outlineLevel="0" collapsed="false">
      <c r="A88" s="14" t="s">
        <v>720</v>
      </c>
      <c r="B88" s="14" t="s">
        <v>730</v>
      </c>
      <c r="C88" s="14" t="n">
        <v>10</v>
      </c>
    </row>
    <row r="89" customFormat="false" ht="15" hidden="false" customHeight="false" outlineLevel="0" collapsed="false">
      <c r="A89" s="14" t="s">
        <v>731</v>
      </c>
      <c r="B89" s="14" t="s">
        <v>732</v>
      </c>
      <c r="C89" s="14" t="n">
        <v>1</v>
      </c>
    </row>
    <row r="90" customFormat="false" ht="15" hidden="false" customHeight="false" outlineLevel="0" collapsed="false">
      <c r="A90" s="14" t="s">
        <v>731</v>
      </c>
      <c r="B90" s="14" t="s">
        <v>733</v>
      </c>
      <c r="C90" s="14" t="n">
        <v>2</v>
      </c>
    </row>
    <row r="91" customFormat="false" ht="15" hidden="false" customHeight="false" outlineLevel="0" collapsed="false">
      <c r="A91" s="14" t="s">
        <v>731</v>
      </c>
      <c r="B91" s="14" t="s">
        <v>734</v>
      </c>
      <c r="C91" s="14" t="n">
        <v>3</v>
      </c>
    </row>
    <row r="92" customFormat="false" ht="15" hidden="false" customHeight="false" outlineLevel="0" collapsed="false">
      <c r="A92" s="14" t="s">
        <v>731</v>
      </c>
      <c r="B92" s="14" t="s">
        <v>735</v>
      </c>
      <c r="C92" s="14" t="n">
        <v>4</v>
      </c>
    </row>
    <row r="93" customFormat="false" ht="15" hidden="false" customHeight="false" outlineLevel="0" collapsed="false">
      <c r="A93" s="14" t="s">
        <v>731</v>
      </c>
      <c r="B93" s="14" t="s">
        <v>736</v>
      </c>
      <c r="C93" s="14" t="n">
        <v>5</v>
      </c>
    </row>
    <row r="94" customFormat="false" ht="15" hidden="false" customHeight="false" outlineLevel="0" collapsed="false">
      <c r="A94" s="14" t="s">
        <v>737</v>
      </c>
      <c r="B94" s="14" t="s">
        <v>738</v>
      </c>
      <c r="C94" s="14" t="n">
        <v>1</v>
      </c>
    </row>
    <row r="95" customFormat="false" ht="15" hidden="false" customHeight="false" outlineLevel="0" collapsed="false">
      <c r="A95" s="14" t="s">
        <v>737</v>
      </c>
      <c r="B95" s="14" t="s">
        <v>739</v>
      </c>
      <c r="C95" s="14" t="n">
        <v>2</v>
      </c>
    </row>
    <row r="96" customFormat="false" ht="15" hidden="false" customHeight="false" outlineLevel="0" collapsed="false">
      <c r="A96" s="14" t="s">
        <v>737</v>
      </c>
      <c r="B96" s="14" t="s">
        <v>648</v>
      </c>
      <c r="C96" s="14" t="n">
        <v>3</v>
      </c>
    </row>
    <row r="97" customFormat="false" ht="15" hidden="false" customHeight="false" outlineLevel="0" collapsed="false">
      <c r="A97" s="14" t="s">
        <v>737</v>
      </c>
      <c r="B97" s="14" t="s">
        <v>649</v>
      </c>
      <c r="C97" s="14" t="n">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9"/>
  </cols>
  <sheetData>
    <row r="1" customFormat="false" ht="15" hidden="false" customHeight="false" outlineLevel="0" collapsed="false">
      <c r="A1" s="13" t="s">
        <v>69</v>
      </c>
      <c r="B1" s="13" t="s">
        <v>73</v>
      </c>
    </row>
    <row r="2" customFormat="false" ht="15" hidden="false" customHeight="false" outlineLevel="0" collapsed="false">
      <c r="A2" s="14" t="s">
        <v>740</v>
      </c>
      <c r="B2" s="14" t="s">
        <v>741</v>
      </c>
    </row>
    <row r="3" customFormat="false" ht="15" hidden="false" customHeight="false" outlineLevel="0" collapsed="false">
      <c r="A3" s="14" t="s">
        <v>742</v>
      </c>
      <c r="B3" s="14" t="s">
        <v>743</v>
      </c>
    </row>
    <row r="4" customFormat="false" ht="15" hidden="false" customHeight="false" outlineLevel="0" collapsed="false">
      <c r="A4" s="14" t="s">
        <v>744</v>
      </c>
      <c r="B4" s="14" t="s">
        <v>745</v>
      </c>
    </row>
    <row r="5" customFormat="false" ht="15" hidden="false" customHeight="false" outlineLevel="0" collapsed="false">
      <c r="A5" s="14" t="s">
        <v>746</v>
      </c>
      <c r="B5" s="14" t="s">
        <v>747</v>
      </c>
    </row>
    <row r="6" customFormat="false" ht="15" hidden="false" customHeight="false" outlineLevel="0" collapsed="false">
      <c r="A6" s="14" t="s">
        <v>748</v>
      </c>
      <c r="B6" s="14" t="s">
        <v>749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21"/>
    <col collapsed="false" customWidth="true" hidden="false" outlineLevel="0" max="4" min="4" style="0" width="12"/>
  </cols>
  <sheetData>
    <row r="1" customFormat="false" ht="15" hidden="false" customHeight="false" outlineLevel="0" collapsed="false">
      <c r="A1" s="13" t="s">
        <v>79</v>
      </c>
      <c r="B1" s="13" t="s">
        <v>82</v>
      </c>
      <c r="C1" s="13" t="s">
        <v>87</v>
      </c>
      <c r="D1" s="13" t="s">
        <v>91</v>
      </c>
    </row>
    <row r="2" customFormat="false" ht="15" hidden="false" customHeight="false" outlineLevel="0" collapsed="false">
      <c r="A2" s="14" t="s">
        <v>750</v>
      </c>
      <c r="B2" s="14" t="s">
        <v>658</v>
      </c>
      <c r="C2" s="14" t="s">
        <v>659</v>
      </c>
      <c r="D2" s="14" t="n">
        <v>1</v>
      </c>
    </row>
    <row r="3" customFormat="false" ht="15" hidden="false" customHeight="false" outlineLevel="0" collapsed="false">
      <c r="A3" s="14" t="s">
        <v>751</v>
      </c>
      <c r="B3" s="14" t="s">
        <v>658</v>
      </c>
      <c r="C3" s="14" t="s">
        <v>658</v>
      </c>
      <c r="D3" s="14" t="n">
        <v>2</v>
      </c>
    </row>
    <row r="4" customFormat="false" ht="15" hidden="false" customHeight="false" outlineLevel="0" collapsed="false">
      <c r="A4" s="14" t="s">
        <v>752</v>
      </c>
      <c r="B4" s="14" t="s">
        <v>658</v>
      </c>
      <c r="C4" s="14" t="s">
        <v>659</v>
      </c>
      <c r="D4" s="14" t="n">
        <v>3</v>
      </c>
    </row>
    <row r="5" customFormat="false" ht="15" hidden="false" customHeight="false" outlineLevel="0" collapsed="false">
      <c r="A5" s="14" t="s">
        <v>753</v>
      </c>
      <c r="B5" s="14" t="s">
        <v>658</v>
      </c>
      <c r="C5" s="14" t="s">
        <v>659</v>
      </c>
      <c r="D5" s="14" t="n">
        <v>4</v>
      </c>
    </row>
    <row r="6" customFormat="false" ht="15" hidden="false" customHeight="false" outlineLevel="0" collapsed="false">
      <c r="A6" s="14" t="s">
        <v>694</v>
      </c>
      <c r="B6" s="14" t="s">
        <v>658</v>
      </c>
      <c r="C6" s="14" t="s">
        <v>659</v>
      </c>
      <c r="D6" s="14"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3"/>
    <col collapsed="false" customWidth="true" hidden="false" outlineLevel="0" max="2" min="2" style="0" width="13"/>
    <col collapsed="false" customWidth="true" hidden="false" outlineLevel="0" max="3" min="3" style="0" width="16"/>
    <col collapsed="false" customWidth="true" hidden="false" outlineLevel="0" max="4" min="4" style="0" width="19"/>
    <col collapsed="false" customWidth="true" hidden="false" outlineLevel="0" max="7" min="5" style="0" width="10"/>
    <col collapsed="false" customWidth="true" hidden="false" outlineLevel="0" max="8" min="8" style="0" width="22"/>
    <col collapsed="false" customWidth="true" hidden="false" outlineLevel="0" max="9" min="9" style="0" width="10"/>
  </cols>
  <sheetData>
    <row r="1" customFormat="false" ht="15" hidden="false" customHeight="false" outlineLevel="0" collapsed="false">
      <c r="A1" s="13" t="s">
        <v>98</v>
      </c>
      <c r="B1" s="13" t="s">
        <v>101</v>
      </c>
      <c r="C1" s="13" t="s">
        <v>103</v>
      </c>
      <c r="D1" s="13" t="s">
        <v>117</v>
      </c>
      <c r="E1" s="13" t="s">
        <v>65</v>
      </c>
      <c r="F1" s="13" t="s">
        <v>126</v>
      </c>
      <c r="G1" s="13" t="s">
        <v>130</v>
      </c>
      <c r="H1" s="13" t="s">
        <v>114</v>
      </c>
      <c r="I1" s="13" t="s">
        <v>110</v>
      </c>
    </row>
    <row r="2" customFormat="false" ht="15" hidden="false" customHeight="false" outlineLevel="0" collapsed="false">
      <c r="A2" s="14" t="s">
        <v>754</v>
      </c>
      <c r="B2" s="14" t="s">
        <v>755</v>
      </c>
      <c r="C2" s="14" t="s">
        <v>756</v>
      </c>
      <c r="D2" s="14" t="s">
        <v>641</v>
      </c>
      <c r="E2" s="14"/>
      <c r="F2" s="14" t="s">
        <v>82</v>
      </c>
      <c r="G2" s="15"/>
      <c r="H2" s="14"/>
      <c r="I2" s="14"/>
    </row>
    <row r="3" customFormat="false" ht="15" hidden="false" customHeight="false" outlineLevel="0" collapsed="false">
      <c r="A3" s="14" t="s">
        <v>757</v>
      </c>
      <c r="B3" s="14" t="s">
        <v>758</v>
      </c>
      <c r="C3" s="14" t="s">
        <v>759</v>
      </c>
      <c r="D3" s="14" t="s">
        <v>641</v>
      </c>
      <c r="E3" s="14"/>
      <c r="F3" s="14" t="s">
        <v>82</v>
      </c>
      <c r="G3" s="15"/>
      <c r="H3" s="14"/>
      <c r="I3" s="14"/>
    </row>
    <row r="4" customFormat="false" ht="15" hidden="false" customHeight="false" outlineLevel="0" collapsed="false">
      <c r="A4" s="14" t="s">
        <v>760</v>
      </c>
      <c r="B4" s="14" t="s">
        <v>761</v>
      </c>
      <c r="C4" s="14" t="s">
        <v>762</v>
      </c>
      <c r="D4" s="14" t="s">
        <v>641</v>
      </c>
      <c r="E4" s="14"/>
      <c r="F4" s="14" t="s">
        <v>82</v>
      </c>
      <c r="G4" s="15"/>
      <c r="H4" s="14"/>
      <c r="I4" s="14"/>
    </row>
    <row r="5" customFormat="false" ht="15" hidden="false" customHeight="false" outlineLevel="0" collapsed="false">
      <c r="A5" s="14" t="s">
        <v>763</v>
      </c>
      <c r="B5" s="14" t="s">
        <v>764</v>
      </c>
      <c r="C5" s="14" t="s">
        <v>765</v>
      </c>
      <c r="D5" s="14" t="s">
        <v>641</v>
      </c>
      <c r="E5" s="14"/>
      <c r="F5" s="14" t="s">
        <v>82</v>
      </c>
      <c r="G5" s="15"/>
      <c r="H5" s="14"/>
      <c r="I5" s="14"/>
    </row>
    <row r="6" customFormat="false" ht="15" hidden="false" customHeight="false" outlineLevel="0" collapsed="false">
      <c r="A6" s="14" t="s">
        <v>766</v>
      </c>
      <c r="B6" s="14" t="s">
        <v>767</v>
      </c>
      <c r="C6" s="14" t="s">
        <v>768</v>
      </c>
      <c r="D6" s="14" t="s">
        <v>641</v>
      </c>
      <c r="E6" s="14"/>
      <c r="F6" s="14" t="s">
        <v>82</v>
      </c>
      <c r="G6" s="15"/>
      <c r="H6" s="14"/>
      <c r="I6" s="14"/>
    </row>
    <row r="7" customFormat="false" ht="15" hidden="false" customHeight="false" outlineLevel="0" collapsed="false">
      <c r="A7" s="14" t="s">
        <v>769</v>
      </c>
      <c r="B7" s="14" t="s">
        <v>770</v>
      </c>
      <c r="C7" s="14" t="s">
        <v>771</v>
      </c>
      <c r="D7" s="14" t="s">
        <v>641</v>
      </c>
      <c r="E7" s="14"/>
      <c r="F7" s="14" t="s">
        <v>82</v>
      </c>
      <c r="G7" s="15"/>
      <c r="H7" s="14"/>
      <c r="I7" s="14"/>
    </row>
    <row r="8" customFormat="false" ht="15" hidden="false" customHeight="false" outlineLevel="0" collapsed="false">
      <c r="A8" s="14" t="s">
        <v>772</v>
      </c>
      <c r="B8" s="14" t="s">
        <v>773</v>
      </c>
      <c r="C8" s="14" t="s">
        <v>774</v>
      </c>
      <c r="D8" s="14" t="s">
        <v>641</v>
      </c>
      <c r="E8" s="14"/>
      <c r="F8" s="14" t="s">
        <v>82</v>
      </c>
      <c r="G8" s="15"/>
      <c r="H8" s="14"/>
      <c r="I8" s="14"/>
    </row>
    <row r="9" customFormat="false" ht="15" hidden="false" customHeight="false" outlineLevel="0" collapsed="false">
      <c r="A9" s="14" t="s">
        <v>775</v>
      </c>
      <c r="B9" s="14" t="s">
        <v>776</v>
      </c>
      <c r="C9" s="14" t="s">
        <v>777</v>
      </c>
      <c r="D9" s="14" t="s">
        <v>641</v>
      </c>
      <c r="E9" s="14"/>
      <c r="F9" s="14" t="s">
        <v>82</v>
      </c>
      <c r="G9" s="15"/>
      <c r="H9" s="14"/>
      <c r="I9" s="14"/>
    </row>
    <row r="10" customFormat="false" ht="15" hidden="false" customHeight="false" outlineLevel="0" collapsed="false">
      <c r="A10" s="14" t="s">
        <v>778</v>
      </c>
      <c r="B10" s="14" t="s">
        <v>779</v>
      </c>
      <c r="C10" s="14" t="s">
        <v>780</v>
      </c>
      <c r="D10" s="14" t="s">
        <v>641</v>
      </c>
      <c r="E10" s="14"/>
      <c r="F10" s="14" t="s">
        <v>82</v>
      </c>
      <c r="G10" s="15"/>
      <c r="H10" s="14"/>
      <c r="I10" s="14"/>
    </row>
    <row r="11" customFormat="false" ht="15" hidden="false" customHeight="false" outlineLevel="0" collapsed="false">
      <c r="A11" s="14" t="s">
        <v>781</v>
      </c>
      <c r="B11" s="14" t="s">
        <v>782</v>
      </c>
      <c r="C11" s="14" t="s">
        <v>783</v>
      </c>
      <c r="D11" s="14" t="s">
        <v>641</v>
      </c>
      <c r="E11" s="14"/>
      <c r="F11" s="14" t="s">
        <v>82</v>
      </c>
      <c r="G11" s="15"/>
      <c r="H11" s="14"/>
      <c r="I11" s="14"/>
    </row>
    <row r="12" customFormat="false" ht="15" hidden="false" customHeight="false" outlineLevel="0" collapsed="false">
      <c r="A12" s="14" t="s">
        <v>784</v>
      </c>
      <c r="B12" s="14" t="s">
        <v>785</v>
      </c>
      <c r="C12" s="14" t="s">
        <v>786</v>
      </c>
      <c r="D12" s="14" t="s">
        <v>641</v>
      </c>
      <c r="E12" s="14"/>
      <c r="F12" s="14" t="s">
        <v>82</v>
      </c>
      <c r="G12" s="15"/>
      <c r="H12" s="14"/>
      <c r="I12" s="14"/>
    </row>
    <row r="13" customFormat="false" ht="15" hidden="false" customHeight="false" outlineLevel="0" collapsed="false">
      <c r="A13" s="14" t="s">
        <v>787</v>
      </c>
      <c r="B13" s="14" t="s">
        <v>788</v>
      </c>
      <c r="C13" s="14" t="s">
        <v>789</v>
      </c>
      <c r="D13" s="14" t="s">
        <v>641</v>
      </c>
      <c r="E13" s="14"/>
      <c r="F13" s="14" t="s">
        <v>82</v>
      </c>
      <c r="G13" s="15"/>
      <c r="H13" s="14"/>
      <c r="I13" s="14"/>
    </row>
    <row r="14" customFormat="false" ht="15" hidden="false" customHeight="false" outlineLevel="0" collapsed="false">
      <c r="A14" s="14" t="s">
        <v>790</v>
      </c>
      <c r="B14" s="14" t="s">
        <v>791</v>
      </c>
      <c r="C14" s="14" t="s">
        <v>792</v>
      </c>
      <c r="D14" s="14" t="s">
        <v>641</v>
      </c>
      <c r="E14" s="14"/>
      <c r="F14" s="14" t="s">
        <v>82</v>
      </c>
      <c r="G14" s="15"/>
      <c r="H14" s="14"/>
      <c r="I14" s="14"/>
    </row>
    <row r="15" customFormat="false" ht="15" hidden="false" customHeight="false" outlineLevel="0" collapsed="false">
      <c r="A15" s="14" t="s">
        <v>793</v>
      </c>
      <c r="B15" s="14" t="s">
        <v>794</v>
      </c>
      <c r="C15" s="14" t="s">
        <v>795</v>
      </c>
      <c r="D15" s="14" t="s">
        <v>641</v>
      </c>
      <c r="E15" s="14"/>
      <c r="F15" s="14" t="s">
        <v>82</v>
      </c>
      <c r="G15" s="15"/>
      <c r="H15" s="14"/>
      <c r="I15" s="14"/>
    </row>
    <row r="16" customFormat="false" ht="15" hidden="false" customHeight="false" outlineLevel="0" collapsed="false">
      <c r="A16" s="14" t="s">
        <v>796</v>
      </c>
      <c r="B16" s="14" t="s">
        <v>797</v>
      </c>
      <c r="C16" s="14" t="s">
        <v>798</v>
      </c>
      <c r="D16" s="14" t="s">
        <v>641</v>
      </c>
      <c r="E16" s="14"/>
      <c r="F16" s="14" t="s">
        <v>82</v>
      </c>
      <c r="G16" s="15"/>
      <c r="H16" s="14"/>
      <c r="I16" s="14"/>
    </row>
    <row r="17" customFormat="false" ht="15" hidden="false" customHeight="false" outlineLevel="0" collapsed="false">
      <c r="A17" s="14" t="s">
        <v>799</v>
      </c>
      <c r="B17" s="14" t="s">
        <v>800</v>
      </c>
      <c r="C17" s="14" t="s">
        <v>767</v>
      </c>
      <c r="D17" s="14" t="s">
        <v>641</v>
      </c>
      <c r="E17" s="14"/>
      <c r="F17" s="14" t="s">
        <v>82</v>
      </c>
      <c r="G17" s="15"/>
      <c r="H17" s="14"/>
      <c r="I17" s="14"/>
    </row>
    <row r="18" customFormat="false" ht="15" hidden="false" customHeight="false" outlineLevel="0" collapsed="false">
      <c r="A18" s="14" t="s">
        <v>801</v>
      </c>
      <c r="B18" s="14" t="s">
        <v>802</v>
      </c>
      <c r="C18" s="14" t="s">
        <v>803</v>
      </c>
      <c r="D18" s="14" t="s">
        <v>640</v>
      </c>
      <c r="E18" s="14" t="s">
        <v>742</v>
      </c>
      <c r="F18" s="14" t="s">
        <v>82</v>
      </c>
      <c r="G18" s="15"/>
      <c r="H18" s="14"/>
      <c r="I18" s="14"/>
    </row>
    <row r="19" customFormat="false" ht="15" hidden="false" customHeight="false" outlineLevel="0" collapsed="false">
      <c r="A19" s="14" t="s">
        <v>804</v>
      </c>
      <c r="B19" s="14" t="s">
        <v>805</v>
      </c>
      <c r="C19" s="14" t="s">
        <v>806</v>
      </c>
      <c r="D19" s="14" t="s">
        <v>640</v>
      </c>
      <c r="E19" s="14" t="s">
        <v>742</v>
      </c>
      <c r="F19" s="14" t="s">
        <v>82</v>
      </c>
      <c r="G19" s="15"/>
      <c r="H19" s="14"/>
      <c r="I19" s="14"/>
    </row>
    <row r="20" customFormat="false" ht="15" hidden="false" customHeight="false" outlineLevel="0" collapsed="false">
      <c r="A20" s="14" t="s">
        <v>807</v>
      </c>
      <c r="B20" s="14" t="s">
        <v>808</v>
      </c>
      <c r="C20" s="14" t="s">
        <v>809</v>
      </c>
      <c r="D20" s="14" t="s">
        <v>640</v>
      </c>
      <c r="E20" s="14" t="s">
        <v>742</v>
      </c>
      <c r="F20" s="14" t="s">
        <v>82</v>
      </c>
      <c r="G20" s="15"/>
      <c r="H20" s="14"/>
      <c r="I20" s="14"/>
    </row>
    <row r="21" customFormat="false" ht="15" hidden="false" customHeight="false" outlineLevel="0" collapsed="false">
      <c r="A21" s="14" t="s">
        <v>810</v>
      </c>
      <c r="B21" s="14" t="s">
        <v>811</v>
      </c>
      <c r="C21" s="14" t="s">
        <v>812</v>
      </c>
      <c r="D21" s="14" t="s">
        <v>640</v>
      </c>
      <c r="E21" s="14" t="s">
        <v>742</v>
      </c>
      <c r="F21" s="14" t="s">
        <v>82</v>
      </c>
      <c r="G21" s="15"/>
      <c r="H21" s="14"/>
      <c r="I21" s="14"/>
    </row>
    <row r="22" customFormat="false" ht="15" hidden="false" customHeight="false" outlineLevel="0" collapsed="false">
      <c r="A22" s="14" t="s">
        <v>813</v>
      </c>
      <c r="B22" s="14" t="s">
        <v>814</v>
      </c>
      <c r="C22" s="14" t="s">
        <v>815</v>
      </c>
      <c r="D22" s="14" t="s">
        <v>640</v>
      </c>
      <c r="E22" s="14" t="s">
        <v>744</v>
      </c>
      <c r="F22" s="14" t="s">
        <v>82</v>
      </c>
      <c r="G22" s="15"/>
      <c r="H22" s="14"/>
      <c r="I22" s="14"/>
    </row>
    <row r="23" customFormat="false" ht="15" hidden="false" customHeight="false" outlineLevel="0" collapsed="false">
      <c r="A23" s="14" t="s">
        <v>816</v>
      </c>
      <c r="B23" s="14" t="s">
        <v>761</v>
      </c>
      <c r="C23" s="14" t="s">
        <v>817</v>
      </c>
      <c r="D23" s="14" t="s">
        <v>640</v>
      </c>
      <c r="E23" s="14" t="s">
        <v>744</v>
      </c>
      <c r="F23" s="14" t="s">
        <v>82</v>
      </c>
      <c r="G23" s="15"/>
      <c r="H23" s="14"/>
      <c r="I23" s="14"/>
    </row>
    <row r="24" customFormat="false" ht="15" hidden="false" customHeight="false" outlineLevel="0" collapsed="false">
      <c r="A24" s="14" t="s">
        <v>818</v>
      </c>
      <c r="B24" s="14" t="s">
        <v>819</v>
      </c>
      <c r="C24" s="14" t="s">
        <v>820</v>
      </c>
      <c r="D24" s="14" t="s">
        <v>640</v>
      </c>
      <c r="E24" s="14" t="s">
        <v>744</v>
      </c>
      <c r="F24" s="14" t="s">
        <v>82</v>
      </c>
      <c r="G24" s="15"/>
      <c r="H24" s="14"/>
      <c r="I24" s="14"/>
    </row>
    <row r="25" customFormat="false" ht="15" hidden="false" customHeight="false" outlineLevel="0" collapsed="false">
      <c r="A25" s="14" t="s">
        <v>821</v>
      </c>
      <c r="B25" s="14" t="s">
        <v>822</v>
      </c>
      <c r="C25" s="14" t="s">
        <v>823</v>
      </c>
      <c r="D25" s="14" t="s">
        <v>640</v>
      </c>
      <c r="E25" s="14" t="s">
        <v>746</v>
      </c>
      <c r="F25" s="14" t="s">
        <v>82</v>
      </c>
      <c r="G25" s="15"/>
      <c r="H25" s="14"/>
      <c r="I25" s="14"/>
    </row>
    <row r="26" customFormat="false" ht="15" hidden="false" customHeight="false" outlineLevel="0" collapsed="false">
      <c r="A26" s="14" t="s">
        <v>824</v>
      </c>
      <c r="B26" s="14" t="s">
        <v>825</v>
      </c>
      <c r="C26" s="14" t="s">
        <v>826</v>
      </c>
      <c r="D26" s="14" t="s">
        <v>640</v>
      </c>
      <c r="E26" s="14" t="s">
        <v>746</v>
      </c>
      <c r="F26" s="14" t="s">
        <v>82</v>
      </c>
      <c r="G26" s="15"/>
      <c r="H26" s="14"/>
      <c r="I26" s="14"/>
    </row>
    <row r="27" customFormat="false" ht="15" hidden="false" customHeight="false" outlineLevel="0" collapsed="false">
      <c r="A27" s="14" t="s">
        <v>827</v>
      </c>
      <c r="B27" s="14" t="s">
        <v>828</v>
      </c>
      <c r="C27" s="14" t="s">
        <v>829</v>
      </c>
      <c r="D27" s="14" t="s">
        <v>640</v>
      </c>
      <c r="E27" s="14" t="s">
        <v>740</v>
      </c>
      <c r="F27" s="14" t="s">
        <v>82</v>
      </c>
      <c r="G27" s="15"/>
      <c r="H27" s="14"/>
      <c r="I27" s="14"/>
    </row>
    <row r="28" customFormat="false" ht="15" hidden="false" customHeight="false" outlineLevel="0" collapsed="false">
      <c r="A28" s="14" t="s">
        <v>830</v>
      </c>
      <c r="B28" s="14" t="s">
        <v>831</v>
      </c>
      <c r="C28" s="14" t="s">
        <v>832</v>
      </c>
      <c r="D28" s="14" t="s">
        <v>640</v>
      </c>
      <c r="E28" s="14" t="s">
        <v>740</v>
      </c>
      <c r="F28" s="14" t="s">
        <v>82</v>
      </c>
      <c r="G28" s="15"/>
      <c r="H28" s="14"/>
      <c r="I28" s="14"/>
    </row>
    <row r="29" customFormat="false" ht="15" hidden="false" customHeight="false" outlineLevel="0" collapsed="false">
      <c r="A29" s="14" t="s">
        <v>833</v>
      </c>
      <c r="B29" s="14" t="s">
        <v>834</v>
      </c>
      <c r="C29" s="14" t="s">
        <v>835</v>
      </c>
      <c r="D29" s="14" t="s">
        <v>640</v>
      </c>
      <c r="E29" s="14" t="s">
        <v>740</v>
      </c>
      <c r="F29" s="14" t="s">
        <v>82</v>
      </c>
      <c r="G29" s="15"/>
      <c r="H29" s="14"/>
      <c r="I29" s="14"/>
    </row>
    <row r="30" customFormat="false" ht="15" hidden="false" customHeight="false" outlineLevel="0" collapsed="false">
      <c r="A30" s="14" t="s">
        <v>836</v>
      </c>
      <c r="B30" s="14" t="s">
        <v>837</v>
      </c>
      <c r="C30" s="14" t="s">
        <v>835</v>
      </c>
      <c r="D30" s="14" t="s">
        <v>640</v>
      </c>
      <c r="E30" s="14" t="s">
        <v>740</v>
      </c>
      <c r="F30" s="14" t="s">
        <v>82</v>
      </c>
      <c r="G30" s="15"/>
      <c r="H30" s="14"/>
      <c r="I30" s="14"/>
    </row>
    <row r="31" customFormat="false" ht="15" hidden="false" customHeight="false" outlineLevel="0" collapsed="false">
      <c r="A31" s="14" t="s">
        <v>838</v>
      </c>
      <c r="B31" s="14" t="s">
        <v>839</v>
      </c>
      <c r="C31" s="14" t="s">
        <v>840</v>
      </c>
      <c r="D31" s="14" t="s">
        <v>640</v>
      </c>
      <c r="E31" s="14" t="s">
        <v>740</v>
      </c>
      <c r="F31" s="14" t="s">
        <v>82</v>
      </c>
      <c r="G31" s="15"/>
      <c r="H31" s="14"/>
      <c r="I31" s="14"/>
    </row>
    <row r="32" customFormat="false" ht="15" hidden="false" customHeight="false" outlineLevel="0" collapsed="false">
      <c r="A32" s="14" t="s">
        <v>841</v>
      </c>
      <c r="B32" s="14" t="s">
        <v>842</v>
      </c>
      <c r="C32" s="14" t="s">
        <v>843</v>
      </c>
      <c r="D32" s="14" t="s">
        <v>640</v>
      </c>
      <c r="E32" s="14" t="s">
        <v>748</v>
      </c>
      <c r="F32" s="14" t="s">
        <v>82</v>
      </c>
      <c r="G32" s="15"/>
      <c r="H32" s="14"/>
      <c r="I32" s="14"/>
    </row>
    <row r="33" customFormat="false" ht="15" hidden="false" customHeight="false" outlineLevel="0" collapsed="false">
      <c r="A33" s="14" t="s">
        <v>844</v>
      </c>
      <c r="B33" s="14" t="s">
        <v>845</v>
      </c>
      <c r="C33" s="14" t="s">
        <v>846</v>
      </c>
      <c r="D33" s="14" t="s">
        <v>640</v>
      </c>
      <c r="E33" s="14" t="s">
        <v>748</v>
      </c>
      <c r="F33" s="14" t="s">
        <v>82</v>
      </c>
      <c r="G33" s="15"/>
      <c r="H33" s="14"/>
      <c r="I33" s="14"/>
    </row>
    <row r="34" customFormat="false" ht="15" hidden="false" customHeight="false" outlineLevel="0" collapsed="false">
      <c r="A34" s="14" t="s">
        <v>847</v>
      </c>
      <c r="B34" s="14" t="s">
        <v>848</v>
      </c>
      <c r="C34" s="14" t="s">
        <v>849</v>
      </c>
      <c r="D34" s="14" t="s">
        <v>522</v>
      </c>
      <c r="E34" s="14" t="s">
        <v>742</v>
      </c>
      <c r="F34" s="14" t="s">
        <v>82</v>
      </c>
      <c r="G34" s="15"/>
      <c r="H34" s="14"/>
      <c r="I34" s="14"/>
    </row>
    <row r="35" customFormat="false" ht="15" hidden="false" customHeight="false" outlineLevel="0" collapsed="false">
      <c r="A35" s="14" t="s">
        <v>850</v>
      </c>
      <c r="B35" s="14" t="s">
        <v>808</v>
      </c>
      <c r="C35" s="14" t="s">
        <v>851</v>
      </c>
      <c r="D35" s="14" t="s">
        <v>522</v>
      </c>
      <c r="E35" s="14" t="s">
        <v>742</v>
      </c>
      <c r="F35" s="14" t="s">
        <v>82</v>
      </c>
      <c r="G35" s="15"/>
      <c r="H35" s="14"/>
      <c r="I35" s="14"/>
    </row>
    <row r="36" customFormat="false" ht="15" hidden="false" customHeight="false" outlineLevel="0" collapsed="false">
      <c r="A36" s="14" t="s">
        <v>852</v>
      </c>
      <c r="B36" s="14" t="s">
        <v>853</v>
      </c>
      <c r="C36" s="14" t="s">
        <v>854</v>
      </c>
      <c r="D36" s="14" t="s">
        <v>522</v>
      </c>
      <c r="E36" s="14" t="s">
        <v>742</v>
      </c>
      <c r="F36" s="14" t="s">
        <v>82</v>
      </c>
      <c r="G36" s="15"/>
      <c r="H36" s="14"/>
      <c r="I36" s="14"/>
    </row>
    <row r="37" customFormat="false" ht="15" hidden="false" customHeight="false" outlineLevel="0" collapsed="false">
      <c r="A37" s="14" t="s">
        <v>855</v>
      </c>
      <c r="B37" s="14" t="s">
        <v>856</v>
      </c>
      <c r="C37" s="14" t="s">
        <v>857</v>
      </c>
      <c r="D37" s="14" t="s">
        <v>522</v>
      </c>
      <c r="E37" s="14" t="s">
        <v>742</v>
      </c>
      <c r="F37" s="14" t="s">
        <v>82</v>
      </c>
      <c r="G37" s="15"/>
      <c r="H37" s="14"/>
      <c r="I37" s="14"/>
    </row>
    <row r="38" customFormat="false" ht="15" hidden="false" customHeight="false" outlineLevel="0" collapsed="false">
      <c r="A38" s="14" t="s">
        <v>858</v>
      </c>
      <c r="B38" s="14" t="s">
        <v>859</v>
      </c>
      <c r="C38" s="14" t="s">
        <v>860</v>
      </c>
      <c r="D38" s="14" t="s">
        <v>522</v>
      </c>
      <c r="E38" s="14" t="s">
        <v>742</v>
      </c>
      <c r="F38" s="14" t="s">
        <v>82</v>
      </c>
      <c r="G38" s="15"/>
      <c r="H38" s="14"/>
      <c r="I38" s="14"/>
    </row>
    <row r="39" customFormat="false" ht="15" hidden="false" customHeight="false" outlineLevel="0" collapsed="false">
      <c r="A39" s="14" t="s">
        <v>861</v>
      </c>
      <c r="B39" s="14" t="s">
        <v>862</v>
      </c>
      <c r="C39" s="14" t="s">
        <v>863</v>
      </c>
      <c r="D39" s="14" t="s">
        <v>522</v>
      </c>
      <c r="E39" s="14" t="s">
        <v>742</v>
      </c>
      <c r="F39" s="14" t="s">
        <v>82</v>
      </c>
      <c r="G39" s="15"/>
      <c r="H39" s="14"/>
      <c r="I39" s="14"/>
    </row>
    <row r="40" customFormat="false" ht="15" hidden="false" customHeight="false" outlineLevel="0" collapsed="false">
      <c r="A40" s="14" t="s">
        <v>864</v>
      </c>
      <c r="B40" s="14" t="s">
        <v>761</v>
      </c>
      <c r="C40" s="14" t="s">
        <v>865</v>
      </c>
      <c r="D40" s="14" t="s">
        <v>522</v>
      </c>
      <c r="E40" s="14" t="s">
        <v>742</v>
      </c>
      <c r="F40" s="14" t="s">
        <v>82</v>
      </c>
      <c r="G40" s="15"/>
      <c r="H40" s="14"/>
      <c r="I40" s="14"/>
    </row>
    <row r="41" customFormat="false" ht="15" hidden="false" customHeight="false" outlineLevel="0" collapsed="false">
      <c r="A41" s="14" t="s">
        <v>866</v>
      </c>
      <c r="B41" s="14" t="s">
        <v>867</v>
      </c>
      <c r="C41" s="14" t="s">
        <v>868</v>
      </c>
      <c r="D41" s="14" t="s">
        <v>522</v>
      </c>
      <c r="E41" s="14" t="s">
        <v>742</v>
      </c>
      <c r="F41" s="14" t="s">
        <v>82</v>
      </c>
      <c r="G41" s="15"/>
      <c r="H41" s="14"/>
      <c r="I41" s="14"/>
    </row>
    <row r="42" customFormat="false" ht="15" hidden="false" customHeight="false" outlineLevel="0" collapsed="false">
      <c r="A42" s="14" t="s">
        <v>869</v>
      </c>
      <c r="B42" s="14" t="s">
        <v>870</v>
      </c>
      <c r="C42" s="14" t="s">
        <v>871</v>
      </c>
      <c r="D42" s="14" t="s">
        <v>522</v>
      </c>
      <c r="E42" s="14" t="s">
        <v>742</v>
      </c>
      <c r="F42" s="14" t="s">
        <v>82</v>
      </c>
      <c r="G42" s="15"/>
      <c r="H42" s="14"/>
      <c r="I42" s="14"/>
    </row>
    <row r="43" customFormat="false" ht="15" hidden="false" customHeight="false" outlineLevel="0" collapsed="false">
      <c r="A43" s="14" t="s">
        <v>872</v>
      </c>
      <c r="B43" s="14" t="s">
        <v>873</v>
      </c>
      <c r="C43" s="14" t="s">
        <v>874</v>
      </c>
      <c r="D43" s="14" t="s">
        <v>522</v>
      </c>
      <c r="E43" s="14" t="s">
        <v>742</v>
      </c>
      <c r="F43" s="14" t="s">
        <v>82</v>
      </c>
      <c r="G43" s="15"/>
      <c r="H43" s="14"/>
      <c r="I43" s="14"/>
    </row>
    <row r="44" customFormat="false" ht="15" hidden="false" customHeight="false" outlineLevel="0" collapsed="false">
      <c r="A44" s="14" t="s">
        <v>875</v>
      </c>
      <c r="B44" s="14" t="s">
        <v>876</v>
      </c>
      <c r="C44" s="14" t="s">
        <v>877</v>
      </c>
      <c r="D44" s="14" t="s">
        <v>522</v>
      </c>
      <c r="E44" s="14" t="s">
        <v>742</v>
      </c>
      <c r="F44" s="14" t="s">
        <v>82</v>
      </c>
      <c r="G44" s="15"/>
      <c r="H44" s="14"/>
      <c r="I44" s="14"/>
    </row>
    <row r="45" customFormat="false" ht="15" hidden="false" customHeight="false" outlineLevel="0" collapsed="false">
      <c r="A45" s="14" t="s">
        <v>878</v>
      </c>
      <c r="B45" s="14" t="s">
        <v>829</v>
      </c>
      <c r="C45" s="14" t="s">
        <v>879</v>
      </c>
      <c r="D45" s="14" t="s">
        <v>522</v>
      </c>
      <c r="E45" s="14" t="s">
        <v>742</v>
      </c>
      <c r="F45" s="14" t="s">
        <v>82</v>
      </c>
      <c r="G45" s="15"/>
      <c r="H45" s="14"/>
      <c r="I45" s="14"/>
    </row>
    <row r="46" customFormat="false" ht="15" hidden="false" customHeight="false" outlineLevel="0" collapsed="false">
      <c r="A46" s="14" t="s">
        <v>880</v>
      </c>
      <c r="B46" s="14" t="s">
        <v>811</v>
      </c>
      <c r="C46" s="14" t="s">
        <v>881</v>
      </c>
      <c r="D46" s="14" t="s">
        <v>522</v>
      </c>
      <c r="E46" s="14" t="s">
        <v>742</v>
      </c>
      <c r="F46" s="14" t="s">
        <v>82</v>
      </c>
      <c r="G46" s="15"/>
      <c r="H46" s="14"/>
      <c r="I46" s="14"/>
    </row>
    <row r="47" customFormat="false" ht="15" hidden="false" customHeight="false" outlineLevel="0" collapsed="false">
      <c r="A47" s="14" t="s">
        <v>882</v>
      </c>
      <c r="B47" s="14" t="s">
        <v>883</v>
      </c>
      <c r="C47" s="14" t="s">
        <v>884</v>
      </c>
      <c r="D47" s="14" t="s">
        <v>522</v>
      </c>
      <c r="E47" s="14" t="s">
        <v>742</v>
      </c>
      <c r="F47" s="14" t="s">
        <v>82</v>
      </c>
      <c r="G47" s="15"/>
      <c r="H47" s="14"/>
      <c r="I47" s="14"/>
    </row>
    <row r="48" customFormat="false" ht="15" hidden="false" customHeight="false" outlineLevel="0" collapsed="false">
      <c r="A48" s="14" t="s">
        <v>885</v>
      </c>
      <c r="B48" s="14" t="s">
        <v>886</v>
      </c>
      <c r="C48" s="14" t="s">
        <v>887</v>
      </c>
      <c r="D48" s="14" t="s">
        <v>522</v>
      </c>
      <c r="E48" s="14" t="s">
        <v>742</v>
      </c>
      <c r="F48" s="14" t="s">
        <v>82</v>
      </c>
      <c r="G48" s="15"/>
      <c r="H48" s="14"/>
      <c r="I48" s="14"/>
    </row>
    <row r="49" customFormat="false" ht="15" hidden="false" customHeight="false" outlineLevel="0" collapsed="false">
      <c r="A49" s="14" t="s">
        <v>888</v>
      </c>
      <c r="B49" s="14" t="s">
        <v>889</v>
      </c>
      <c r="C49" s="14" t="s">
        <v>890</v>
      </c>
      <c r="D49" s="14" t="s">
        <v>522</v>
      </c>
      <c r="E49" s="14" t="s">
        <v>742</v>
      </c>
      <c r="F49" s="14" t="s">
        <v>82</v>
      </c>
      <c r="G49" s="15"/>
      <c r="H49" s="14"/>
      <c r="I49" s="14"/>
    </row>
    <row r="50" customFormat="false" ht="15" hidden="false" customHeight="false" outlineLevel="0" collapsed="false">
      <c r="A50" s="14" t="s">
        <v>891</v>
      </c>
      <c r="B50" s="14" t="s">
        <v>892</v>
      </c>
      <c r="C50" s="14" t="s">
        <v>893</v>
      </c>
      <c r="D50" s="14" t="s">
        <v>522</v>
      </c>
      <c r="E50" s="14" t="s">
        <v>742</v>
      </c>
      <c r="F50" s="14" t="s">
        <v>82</v>
      </c>
      <c r="G50" s="15"/>
      <c r="H50" s="14"/>
      <c r="I50" s="14"/>
    </row>
    <row r="51" customFormat="false" ht="15" hidden="false" customHeight="false" outlineLevel="0" collapsed="false">
      <c r="A51" s="14" t="s">
        <v>894</v>
      </c>
      <c r="B51" s="14" t="s">
        <v>895</v>
      </c>
      <c r="C51" s="14" t="s">
        <v>896</v>
      </c>
      <c r="D51" s="14" t="s">
        <v>522</v>
      </c>
      <c r="E51" s="14" t="s">
        <v>742</v>
      </c>
      <c r="F51" s="14" t="s">
        <v>82</v>
      </c>
      <c r="G51" s="15"/>
      <c r="H51" s="14"/>
      <c r="I51" s="14"/>
    </row>
    <row r="52" customFormat="false" ht="15" hidden="false" customHeight="false" outlineLevel="0" collapsed="false">
      <c r="A52" s="14" t="s">
        <v>897</v>
      </c>
      <c r="B52" s="14" t="s">
        <v>898</v>
      </c>
      <c r="C52" s="14" t="s">
        <v>899</v>
      </c>
      <c r="D52" s="14" t="s">
        <v>522</v>
      </c>
      <c r="E52" s="14" t="s">
        <v>742</v>
      </c>
      <c r="F52" s="14" t="s">
        <v>82</v>
      </c>
      <c r="G52" s="15"/>
      <c r="H52" s="14"/>
      <c r="I52" s="14"/>
    </row>
    <row r="53" customFormat="false" ht="15" hidden="false" customHeight="false" outlineLevel="0" collapsed="false">
      <c r="A53" s="14" t="s">
        <v>900</v>
      </c>
      <c r="B53" s="14" t="s">
        <v>794</v>
      </c>
      <c r="C53" s="14" t="s">
        <v>901</v>
      </c>
      <c r="D53" s="14" t="s">
        <v>522</v>
      </c>
      <c r="E53" s="14" t="s">
        <v>742</v>
      </c>
      <c r="F53" s="14" t="s">
        <v>82</v>
      </c>
      <c r="G53" s="15"/>
      <c r="H53" s="14"/>
      <c r="I53" s="14"/>
    </row>
    <row r="54" customFormat="false" ht="15" hidden="false" customHeight="false" outlineLevel="0" collapsed="false">
      <c r="A54" s="14" t="s">
        <v>902</v>
      </c>
      <c r="B54" s="14" t="s">
        <v>903</v>
      </c>
      <c r="C54" s="14" t="s">
        <v>904</v>
      </c>
      <c r="D54" s="14" t="s">
        <v>522</v>
      </c>
      <c r="E54" s="14" t="s">
        <v>742</v>
      </c>
      <c r="F54" s="14" t="s">
        <v>82</v>
      </c>
      <c r="G54" s="15"/>
      <c r="H54" s="14"/>
      <c r="I54" s="14"/>
    </row>
    <row r="55" customFormat="false" ht="15" hidden="false" customHeight="false" outlineLevel="0" collapsed="false">
      <c r="A55" s="14" t="s">
        <v>905</v>
      </c>
      <c r="B55" s="14" t="s">
        <v>906</v>
      </c>
      <c r="C55" s="14" t="s">
        <v>907</v>
      </c>
      <c r="D55" s="14" t="s">
        <v>522</v>
      </c>
      <c r="E55" s="14" t="s">
        <v>742</v>
      </c>
      <c r="F55" s="14" t="s">
        <v>82</v>
      </c>
      <c r="G55" s="15"/>
      <c r="H55" s="14"/>
      <c r="I55" s="14"/>
    </row>
    <row r="56" customFormat="false" ht="15" hidden="false" customHeight="false" outlineLevel="0" collapsed="false">
      <c r="A56" s="14" t="s">
        <v>908</v>
      </c>
      <c r="B56" s="14" t="s">
        <v>909</v>
      </c>
      <c r="C56" s="14" t="s">
        <v>910</v>
      </c>
      <c r="D56" s="14" t="s">
        <v>522</v>
      </c>
      <c r="E56" s="14" t="s">
        <v>742</v>
      </c>
      <c r="F56" s="14" t="s">
        <v>82</v>
      </c>
      <c r="G56" s="15"/>
      <c r="H56" s="14"/>
      <c r="I56" s="14"/>
    </row>
    <row r="57" customFormat="false" ht="15" hidden="false" customHeight="false" outlineLevel="0" collapsed="false">
      <c r="A57" s="14" t="s">
        <v>911</v>
      </c>
      <c r="B57" s="14" t="s">
        <v>912</v>
      </c>
      <c r="C57" s="14" t="s">
        <v>913</v>
      </c>
      <c r="D57" s="14" t="s">
        <v>522</v>
      </c>
      <c r="E57" s="14" t="s">
        <v>742</v>
      </c>
      <c r="F57" s="14" t="s">
        <v>82</v>
      </c>
      <c r="G57" s="15"/>
      <c r="H57" s="14"/>
      <c r="I57" s="14"/>
    </row>
    <row r="58" customFormat="false" ht="15" hidden="false" customHeight="false" outlineLevel="0" collapsed="false">
      <c r="A58" s="14" t="s">
        <v>914</v>
      </c>
      <c r="B58" s="14" t="s">
        <v>915</v>
      </c>
      <c r="C58" s="14" t="s">
        <v>916</v>
      </c>
      <c r="D58" s="14" t="s">
        <v>522</v>
      </c>
      <c r="E58" s="14" t="s">
        <v>742</v>
      </c>
      <c r="F58" s="14" t="s">
        <v>82</v>
      </c>
      <c r="G58" s="15"/>
      <c r="H58" s="14"/>
      <c r="I58" s="14"/>
    </row>
    <row r="59" customFormat="false" ht="15" hidden="false" customHeight="false" outlineLevel="0" collapsed="false">
      <c r="A59" s="14" t="s">
        <v>917</v>
      </c>
      <c r="B59" s="14" t="s">
        <v>918</v>
      </c>
      <c r="C59" s="14" t="s">
        <v>919</v>
      </c>
      <c r="D59" s="14" t="s">
        <v>522</v>
      </c>
      <c r="E59" s="14" t="s">
        <v>742</v>
      </c>
      <c r="F59" s="14" t="s">
        <v>82</v>
      </c>
      <c r="G59" s="15"/>
      <c r="H59" s="14"/>
      <c r="I59" s="14"/>
    </row>
    <row r="60" customFormat="false" ht="15" hidden="false" customHeight="false" outlineLevel="0" collapsed="false">
      <c r="A60" s="14" t="s">
        <v>920</v>
      </c>
      <c r="B60" s="14" t="s">
        <v>921</v>
      </c>
      <c r="C60" s="14" t="s">
        <v>771</v>
      </c>
      <c r="D60" s="14" t="s">
        <v>522</v>
      </c>
      <c r="E60" s="14" t="s">
        <v>742</v>
      </c>
      <c r="F60" s="14" t="s">
        <v>82</v>
      </c>
      <c r="G60" s="15"/>
      <c r="H60" s="14"/>
      <c r="I60" s="14"/>
    </row>
    <row r="61" customFormat="false" ht="15" hidden="false" customHeight="false" outlineLevel="0" collapsed="false">
      <c r="A61" s="14" t="s">
        <v>922</v>
      </c>
      <c r="B61" s="14" t="s">
        <v>923</v>
      </c>
      <c r="C61" s="14" t="s">
        <v>924</v>
      </c>
      <c r="D61" s="14" t="s">
        <v>522</v>
      </c>
      <c r="E61" s="14" t="s">
        <v>744</v>
      </c>
      <c r="F61" s="14" t="s">
        <v>82</v>
      </c>
      <c r="G61" s="15"/>
      <c r="H61" s="14"/>
      <c r="I61" s="14"/>
    </row>
    <row r="62" customFormat="false" ht="15" hidden="false" customHeight="false" outlineLevel="0" collapsed="false">
      <c r="A62" s="14" t="s">
        <v>925</v>
      </c>
      <c r="B62" s="14" t="s">
        <v>926</v>
      </c>
      <c r="C62" s="14" t="s">
        <v>927</v>
      </c>
      <c r="D62" s="14" t="s">
        <v>522</v>
      </c>
      <c r="E62" s="14" t="s">
        <v>744</v>
      </c>
      <c r="F62" s="14" t="s">
        <v>82</v>
      </c>
      <c r="G62" s="15"/>
      <c r="H62" s="14"/>
      <c r="I62" s="14"/>
    </row>
    <row r="63" customFormat="false" ht="15" hidden="false" customHeight="false" outlineLevel="0" collapsed="false">
      <c r="A63" s="14" t="s">
        <v>928</v>
      </c>
      <c r="B63" s="14" t="s">
        <v>929</v>
      </c>
      <c r="C63" s="14" t="s">
        <v>930</v>
      </c>
      <c r="D63" s="14" t="s">
        <v>522</v>
      </c>
      <c r="E63" s="14" t="s">
        <v>744</v>
      </c>
      <c r="F63" s="14" t="s">
        <v>82</v>
      </c>
      <c r="G63" s="15"/>
      <c r="H63" s="14"/>
      <c r="I63" s="14"/>
    </row>
    <row r="64" customFormat="false" ht="15" hidden="false" customHeight="false" outlineLevel="0" collapsed="false">
      <c r="A64" s="14" t="s">
        <v>931</v>
      </c>
      <c r="B64" s="14" t="s">
        <v>932</v>
      </c>
      <c r="C64" s="14" t="s">
        <v>933</v>
      </c>
      <c r="D64" s="14" t="s">
        <v>522</v>
      </c>
      <c r="E64" s="14" t="s">
        <v>744</v>
      </c>
      <c r="F64" s="14" t="s">
        <v>82</v>
      </c>
      <c r="G64" s="15"/>
      <c r="H64" s="14"/>
      <c r="I64" s="14"/>
    </row>
    <row r="65" customFormat="false" ht="15" hidden="false" customHeight="false" outlineLevel="0" collapsed="false">
      <c r="A65" s="14" t="s">
        <v>934</v>
      </c>
      <c r="B65" s="14" t="s">
        <v>935</v>
      </c>
      <c r="C65" s="14" t="s">
        <v>936</v>
      </c>
      <c r="D65" s="14" t="s">
        <v>522</v>
      </c>
      <c r="E65" s="14" t="s">
        <v>744</v>
      </c>
      <c r="F65" s="14" t="s">
        <v>82</v>
      </c>
      <c r="G65" s="15"/>
      <c r="H65" s="14"/>
      <c r="I65" s="14"/>
    </row>
    <row r="66" customFormat="false" ht="15" hidden="false" customHeight="false" outlineLevel="0" collapsed="false">
      <c r="A66" s="14" t="s">
        <v>937</v>
      </c>
      <c r="B66" s="14" t="s">
        <v>938</v>
      </c>
      <c r="C66" s="14" t="s">
        <v>939</v>
      </c>
      <c r="D66" s="14" t="s">
        <v>522</v>
      </c>
      <c r="E66" s="14" t="s">
        <v>744</v>
      </c>
      <c r="F66" s="14" t="s">
        <v>82</v>
      </c>
      <c r="G66" s="15"/>
      <c r="H66" s="14"/>
      <c r="I66" s="14"/>
    </row>
    <row r="67" customFormat="false" ht="15" hidden="false" customHeight="false" outlineLevel="0" collapsed="false">
      <c r="A67" s="14" t="s">
        <v>940</v>
      </c>
      <c r="B67" s="14" t="s">
        <v>941</v>
      </c>
      <c r="C67" s="14" t="s">
        <v>942</v>
      </c>
      <c r="D67" s="14" t="s">
        <v>522</v>
      </c>
      <c r="E67" s="14" t="s">
        <v>744</v>
      </c>
      <c r="F67" s="14" t="s">
        <v>82</v>
      </c>
      <c r="G67" s="15"/>
      <c r="H67" s="14"/>
      <c r="I67" s="14"/>
    </row>
    <row r="68" customFormat="false" ht="15" hidden="false" customHeight="false" outlineLevel="0" collapsed="false">
      <c r="A68" s="14" t="s">
        <v>943</v>
      </c>
      <c r="B68" s="14" t="s">
        <v>941</v>
      </c>
      <c r="C68" s="14" t="s">
        <v>944</v>
      </c>
      <c r="D68" s="14" t="s">
        <v>522</v>
      </c>
      <c r="E68" s="14" t="s">
        <v>744</v>
      </c>
      <c r="F68" s="14" t="s">
        <v>82</v>
      </c>
      <c r="G68" s="15"/>
      <c r="H68" s="14"/>
      <c r="I68" s="14"/>
    </row>
    <row r="69" customFormat="false" ht="15" hidden="false" customHeight="false" outlineLevel="0" collapsed="false">
      <c r="A69" s="14" t="s">
        <v>945</v>
      </c>
      <c r="B69" s="14" t="s">
        <v>946</v>
      </c>
      <c r="C69" s="14" t="s">
        <v>947</v>
      </c>
      <c r="D69" s="14" t="s">
        <v>522</v>
      </c>
      <c r="E69" s="14" t="s">
        <v>744</v>
      </c>
      <c r="F69" s="14" t="s">
        <v>82</v>
      </c>
      <c r="G69" s="15"/>
      <c r="H69" s="14"/>
      <c r="I69" s="14"/>
    </row>
    <row r="70" customFormat="false" ht="15" hidden="false" customHeight="false" outlineLevel="0" collapsed="false">
      <c r="A70" s="14" t="s">
        <v>948</v>
      </c>
      <c r="B70" s="14" t="s">
        <v>949</v>
      </c>
      <c r="C70" s="14" t="s">
        <v>950</v>
      </c>
      <c r="D70" s="14" t="s">
        <v>522</v>
      </c>
      <c r="E70" s="14" t="s">
        <v>744</v>
      </c>
      <c r="F70" s="14" t="s">
        <v>82</v>
      </c>
      <c r="G70" s="15"/>
      <c r="H70" s="14"/>
      <c r="I70" s="14"/>
    </row>
    <row r="71" customFormat="false" ht="15" hidden="false" customHeight="false" outlineLevel="0" collapsed="false">
      <c r="A71" s="14" t="s">
        <v>951</v>
      </c>
      <c r="B71" s="14" t="s">
        <v>952</v>
      </c>
      <c r="C71" s="14" t="s">
        <v>953</v>
      </c>
      <c r="D71" s="14" t="s">
        <v>522</v>
      </c>
      <c r="E71" s="14" t="s">
        <v>744</v>
      </c>
      <c r="F71" s="14" t="s">
        <v>82</v>
      </c>
      <c r="G71" s="15"/>
      <c r="H71" s="14"/>
      <c r="I71" s="14"/>
    </row>
    <row r="72" customFormat="false" ht="15" hidden="false" customHeight="false" outlineLevel="0" collapsed="false">
      <c r="A72" s="14" t="s">
        <v>954</v>
      </c>
      <c r="B72" s="14" t="s">
        <v>955</v>
      </c>
      <c r="C72" s="14" t="s">
        <v>956</v>
      </c>
      <c r="D72" s="14" t="s">
        <v>522</v>
      </c>
      <c r="E72" s="14" t="s">
        <v>744</v>
      </c>
      <c r="F72" s="14" t="s">
        <v>82</v>
      </c>
      <c r="G72" s="15"/>
      <c r="H72" s="14"/>
      <c r="I72" s="14"/>
    </row>
    <row r="73" customFormat="false" ht="15" hidden="false" customHeight="false" outlineLevel="0" collapsed="false">
      <c r="A73" s="14" t="s">
        <v>957</v>
      </c>
      <c r="B73" s="14" t="s">
        <v>958</v>
      </c>
      <c r="C73" s="14" t="s">
        <v>959</v>
      </c>
      <c r="D73" s="14" t="s">
        <v>522</v>
      </c>
      <c r="E73" s="14" t="s">
        <v>744</v>
      </c>
      <c r="F73" s="14" t="s">
        <v>82</v>
      </c>
      <c r="G73" s="15"/>
      <c r="H73" s="14"/>
      <c r="I73" s="14"/>
    </row>
    <row r="74" customFormat="false" ht="15" hidden="false" customHeight="false" outlineLevel="0" collapsed="false">
      <c r="A74" s="14" t="s">
        <v>960</v>
      </c>
      <c r="B74" s="14" t="s">
        <v>961</v>
      </c>
      <c r="C74" s="14" t="s">
        <v>962</v>
      </c>
      <c r="D74" s="14" t="s">
        <v>522</v>
      </c>
      <c r="E74" s="14" t="s">
        <v>744</v>
      </c>
      <c r="F74" s="14" t="s">
        <v>82</v>
      </c>
      <c r="G74" s="15"/>
      <c r="H74" s="14"/>
      <c r="I74" s="14"/>
    </row>
    <row r="75" customFormat="false" ht="15" hidden="false" customHeight="false" outlineLevel="0" collapsed="false">
      <c r="A75" s="14" t="s">
        <v>963</v>
      </c>
      <c r="B75" s="14" t="s">
        <v>964</v>
      </c>
      <c r="C75" s="14" t="s">
        <v>965</v>
      </c>
      <c r="D75" s="14" t="s">
        <v>522</v>
      </c>
      <c r="E75" s="14" t="s">
        <v>744</v>
      </c>
      <c r="F75" s="14" t="s">
        <v>82</v>
      </c>
      <c r="G75" s="15"/>
      <c r="H75" s="14"/>
      <c r="I75" s="14"/>
    </row>
    <row r="76" customFormat="false" ht="15" hidden="false" customHeight="false" outlineLevel="0" collapsed="false">
      <c r="A76" s="14" t="s">
        <v>966</v>
      </c>
      <c r="B76" s="14" t="s">
        <v>967</v>
      </c>
      <c r="C76" s="14" t="s">
        <v>968</v>
      </c>
      <c r="D76" s="14" t="s">
        <v>522</v>
      </c>
      <c r="E76" s="14" t="s">
        <v>744</v>
      </c>
      <c r="F76" s="14" t="s">
        <v>82</v>
      </c>
      <c r="G76" s="15"/>
      <c r="H76" s="14"/>
      <c r="I76" s="14"/>
    </row>
    <row r="77" customFormat="false" ht="15" hidden="false" customHeight="false" outlineLevel="0" collapsed="false">
      <c r="A77" s="14" t="s">
        <v>969</v>
      </c>
      <c r="B77" s="14" t="s">
        <v>802</v>
      </c>
      <c r="C77" s="14" t="s">
        <v>970</v>
      </c>
      <c r="D77" s="14" t="s">
        <v>522</v>
      </c>
      <c r="E77" s="14" t="s">
        <v>746</v>
      </c>
      <c r="F77" s="14" t="s">
        <v>82</v>
      </c>
      <c r="G77" s="15"/>
      <c r="H77" s="14"/>
      <c r="I77" s="14"/>
    </row>
    <row r="78" customFormat="false" ht="15" hidden="false" customHeight="false" outlineLevel="0" collapsed="false">
      <c r="A78" s="14" t="s">
        <v>971</v>
      </c>
      <c r="B78" s="14" t="s">
        <v>972</v>
      </c>
      <c r="C78" s="14" t="s">
        <v>973</v>
      </c>
      <c r="D78" s="14" t="s">
        <v>522</v>
      </c>
      <c r="E78" s="14" t="s">
        <v>746</v>
      </c>
      <c r="F78" s="14" t="s">
        <v>82</v>
      </c>
      <c r="G78" s="15"/>
      <c r="H78" s="14"/>
      <c r="I78" s="14"/>
    </row>
    <row r="79" customFormat="false" ht="15" hidden="false" customHeight="false" outlineLevel="0" collapsed="false">
      <c r="A79" s="14" t="s">
        <v>974</v>
      </c>
      <c r="B79" s="14" t="s">
        <v>975</v>
      </c>
      <c r="C79" s="14" t="s">
        <v>976</v>
      </c>
      <c r="D79" s="14" t="s">
        <v>522</v>
      </c>
      <c r="E79" s="14" t="s">
        <v>746</v>
      </c>
      <c r="F79" s="14" t="s">
        <v>82</v>
      </c>
      <c r="G79" s="15"/>
      <c r="H79" s="14"/>
      <c r="I79" s="14"/>
    </row>
    <row r="80" customFormat="false" ht="15" hidden="false" customHeight="false" outlineLevel="0" collapsed="false">
      <c r="A80" s="14" t="s">
        <v>977</v>
      </c>
      <c r="B80" s="14" t="s">
        <v>978</v>
      </c>
      <c r="C80" s="14" t="s">
        <v>979</v>
      </c>
      <c r="D80" s="14" t="s">
        <v>522</v>
      </c>
      <c r="E80" s="14" t="s">
        <v>746</v>
      </c>
      <c r="F80" s="14" t="s">
        <v>82</v>
      </c>
      <c r="G80" s="15"/>
      <c r="H80" s="14"/>
      <c r="I80" s="14"/>
    </row>
    <row r="81" customFormat="false" ht="15" hidden="false" customHeight="false" outlineLevel="0" collapsed="false">
      <c r="A81" s="14" t="s">
        <v>980</v>
      </c>
      <c r="B81" s="14" t="s">
        <v>981</v>
      </c>
      <c r="C81" s="14" t="s">
        <v>982</v>
      </c>
      <c r="D81" s="14" t="s">
        <v>522</v>
      </c>
      <c r="E81" s="14" t="s">
        <v>746</v>
      </c>
      <c r="F81" s="14" t="s">
        <v>82</v>
      </c>
      <c r="G81" s="15"/>
      <c r="H81" s="14"/>
      <c r="I81" s="14"/>
    </row>
    <row r="82" customFormat="false" ht="15" hidden="false" customHeight="false" outlineLevel="0" collapsed="false">
      <c r="A82" s="14" t="s">
        <v>983</v>
      </c>
      <c r="B82" s="14" t="s">
        <v>984</v>
      </c>
      <c r="C82" s="14" t="s">
        <v>985</v>
      </c>
      <c r="D82" s="14" t="s">
        <v>522</v>
      </c>
      <c r="E82" s="14" t="s">
        <v>746</v>
      </c>
      <c r="F82" s="14" t="s">
        <v>82</v>
      </c>
      <c r="G82" s="15"/>
      <c r="H82" s="14"/>
      <c r="I82" s="14"/>
    </row>
    <row r="83" customFormat="false" ht="15" hidden="false" customHeight="false" outlineLevel="0" collapsed="false">
      <c r="A83" s="14" t="s">
        <v>986</v>
      </c>
      <c r="B83" s="14" t="s">
        <v>987</v>
      </c>
      <c r="C83" s="14" t="s">
        <v>988</v>
      </c>
      <c r="D83" s="14" t="s">
        <v>522</v>
      </c>
      <c r="E83" s="14" t="s">
        <v>746</v>
      </c>
      <c r="F83" s="14" t="s">
        <v>82</v>
      </c>
      <c r="G83" s="15"/>
      <c r="H83" s="14"/>
      <c r="I83" s="14"/>
    </row>
    <row r="84" customFormat="false" ht="15" hidden="false" customHeight="false" outlineLevel="0" collapsed="false">
      <c r="A84" s="14" t="s">
        <v>989</v>
      </c>
      <c r="B84" s="14" t="s">
        <v>990</v>
      </c>
      <c r="C84" s="14" t="s">
        <v>991</v>
      </c>
      <c r="D84" s="14" t="s">
        <v>522</v>
      </c>
      <c r="E84" s="14" t="s">
        <v>746</v>
      </c>
      <c r="F84" s="14" t="s">
        <v>82</v>
      </c>
      <c r="G84" s="15"/>
      <c r="H84" s="14"/>
      <c r="I84" s="14"/>
    </row>
    <row r="85" customFormat="false" ht="15" hidden="false" customHeight="false" outlineLevel="0" collapsed="false">
      <c r="A85" s="14" t="s">
        <v>992</v>
      </c>
      <c r="B85" s="14" t="s">
        <v>797</v>
      </c>
      <c r="C85" s="14" t="s">
        <v>993</v>
      </c>
      <c r="D85" s="14" t="s">
        <v>522</v>
      </c>
      <c r="E85" s="14" t="s">
        <v>746</v>
      </c>
      <c r="F85" s="14" t="s">
        <v>82</v>
      </c>
      <c r="G85" s="15"/>
      <c r="H85" s="14"/>
      <c r="I85" s="14"/>
    </row>
    <row r="86" customFormat="false" ht="15" hidden="false" customHeight="false" outlineLevel="0" collapsed="false">
      <c r="A86" s="14" t="s">
        <v>994</v>
      </c>
      <c r="B86" s="14" t="s">
        <v>967</v>
      </c>
      <c r="C86" s="14" t="s">
        <v>995</v>
      </c>
      <c r="D86" s="14" t="s">
        <v>522</v>
      </c>
      <c r="E86" s="14" t="s">
        <v>746</v>
      </c>
      <c r="F86" s="14" t="s">
        <v>82</v>
      </c>
      <c r="G86" s="15"/>
      <c r="H86" s="14"/>
      <c r="I86" s="14"/>
    </row>
    <row r="87" customFormat="false" ht="15" hidden="false" customHeight="false" outlineLevel="0" collapsed="false">
      <c r="A87" s="14" t="s">
        <v>996</v>
      </c>
      <c r="B87" s="14" t="s">
        <v>802</v>
      </c>
      <c r="C87" s="14" t="s">
        <v>997</v>
      </c>
      <c r="D87" s="14" t="s">
        <v>522</v>
      </c>
      <c r="E87" s="14" t="s">
        <v>740</v>
      </c>
      <c r="F87" s="14" t="s">
        <v>82</v>
      </c>
      <c r="G87" s="15"/>
      <c r="H87" s="14"/>
      <c r="I87" s="14"/>
    </row>
    <row r="88" customFormat="false" ht="15" hidden="false" customHeight="false" outlineLevel="0" collapsed="false">
      <c r="A88" s="14" t="s">
        <v>998</v>
      </c>
      <c r="B88" s="14" t="s">
        <v>999</v>
      </c>
      <c r="C88" s="14" t="s">
        <v>1000</v>
      </c>
      <c r="D88" s="14" t="s">
        <v>522</v>
      </c>
      <c r="E88" s="14" t="s">
        <v>740</v>
      </c>
      <c r="F88" s="14" t="s">
        <v>82</v>
      </c>
      <c r="G88" s="15"/>
      <c r="H88" s="14"/>
      <c r="I88" s="14"/>
    </row>
    <row r="89" customFormat="false" ht="15" hidden="false" customHeight="false" outlineLevel="0" collapsed="false">
      <c r="A89" s="14" t="s">
        <v>1001</v>
      </c>
      <c r="B89" s="14" t="s">
        <v>1002</v>
      </c>
      <c r="C89" s="14" t="s">
        <v>1003</v>
      </c>
      <c r="D89" s="14" t="s">
        <v>522</v>
      </c>
      <c r="E89" s="14" t="s">
        <v>740</v>
      </c>
      <c r="F89" s="14" t="s">
        <v>82</v>
      </c>
      <c r="G89" s="15"/>
      <c r="H89" s="14"/>
      <c r="I89" s="14"/>
    </row>
    <row r="90" customFormat="false" ht="15" hidden="false" customHeight="false" outlineLevel="0" collapsed="false">
      <c r="A90" s="14" t="s">
        <v>1004</v>
      </c>
      <c r="B90" s="14" t="s">
        <v>929</v>
      </c>
      <c r="C90" s="14" t="s">
        <v>1005</v>
      </c>
      <c r="D90" s="14" t="s">
        <v>522</v>
      </c>
      <c r="E90" s="14" t="s">
        <v>740</v>
      </c>
      <c r="F90" s="14" t="s">
        <v>82</v>
      </c>
      <c r="G90" s="15"/>
      <c r="H90" s="14"/>
      <c r="I90" s="14"/>
    </row>
    <row r="91" customFormat="false" ht="15" hidden="false" customHeight="false" outlineLevel="0" collapsed="false">
      <c r="A91" s="14" t="s">
        <v>1006</v>
      </c>
      <c r="B91" s="14" t="s">
        <v>1007</v>
      </c>
      <c r="C91" s="14" t="s">
        <v>1008</v>
      </c>
      <c r="D91" s="14" t="s">
        <v>522</v>
      </c>
      <c r="E91" s="14" t="s">
        <v>740</v>
      </c>
      <c r="F91" s="14" t="s">
        <v>82</v>
      </c>
      <c r="G91" s="15"/>
      <c r="H91" s="14"/>
      <c r="I91" s="14"/>
    </row>
    <row r="92" customFormat="false" ht="15" hidden="false" customHeight="false" outlineLevel="0" collapsed="false">
      <c r="A92" s="14" t="s">
        <v>1009</v>
      </c>
      <c r="B92" s="14" t="s">
        <v>1010</v>
      </c>
      <c r="C92" s="14" t="s">
        <v>1011</v>
      </c>
      <c r="D92" s="14" t="s">
        <v>522</v>
      </c>
      <c r="E92" s="14" t="s">
        <v>740</v>
      </c>
      <c r="F92" s="14" t="s">
        <v>82</v>
      </c>
      <c r="G92" s="15"/>
      <c r="H92" s="14"/>
      <c r="I92" s="14"/>
    </row>
    <row r="93" customFormat="false" ht="15" hidden="false" customHeight="false" outlineLevel="0" collapsed="false">
      <c r="A93" s="14" t="s">
        <v>1012</v>
      </c>
      <c r="B93" s="14" t="s">
        <v>941</v>
      </c>
      <c r="C93" s="14" t="s">
        <v>1013</v>
      </c>
      <c r="D93" s="14" t="s">
        <v>522</v>
      </c>
      <c r="E93" s="14" t="s">
        <v>740</v>
      </c>
      <c r="F93" s="14" t="s">
        <v>82</v>
      </c>
      <c r="G93" s="15"/>
      <c r="H93" s="14"/>
      <c r="I93" s="14"/>
    </row>
    <row r="94" customFormat="false" ht="15" hidden="false" customHeight="false" outlineLevel="0" collapsed="false">
      <c r="A94" s="14" t="s">
        <v>1014</v>
      </c>
      <c r="B94" s="14" t="s">
        <v>1015</v>
      </c>
      <c r="C94" s="14" t="s">
        <v>1016</v>
      </c>
      <c r="D94" s="14" t="s">
        <v>522</v>
      </c>
      <c r="E94" s="14" t="s">
        <v>740</v>
      </c>
      <c r="F94" s="14" t="s">
        <v>82</v>
      </c>
      <c r="G94" s="15"/>
      <c r="H94" s="14"/>
      <c r="I94" s="14"/>
    </row>
    <row r="95" customFormat="false" ht="15" hidden="false" customHeight="false" outlineLevel="0" collapsed="false">
      <c r="A95" s="14" t="s">
        <v>1017</v>
      </c>
      <c r="B95" s="14" t="s">
        <v>1018</v>
      </c>
      <c r="C95" s="14" t="s">
        <v>1019</v>
      </c>
      <c r="D95" s="14" t="s">
        <v>522</v>
      </c>
      <c r="E95" s="14" t="s">
        <v>748</v>
      </c>
      <c r="F95" s="14" t="s">
        <v>82</v>
      </c>
      <c r="G95" s="15"/>
      <c r="H95" s="14"/>
      <c r="I95" s="14"/>
    </row>
    <row r="96" customFormat="false" ht="15" hidden="false" customHeight="false" outlineLevel="0" collapsed="false">
      <c r="A96" s="14" t="s">
        <v>1020</v>
      </c>
      <c r="B96" s="14" t="s">
        <v>842</v>
      </c>
      <c r="C96" s="14" t="s">
        <v>1021</v>
      </c>
      <c r="D96" s="14" t="s">
        <v>522</v>
      </c>
      <c r="E96" s="14" t="s">
        <v>748</v>
      </c>
      <c r="F96" s="14" t="s">
        <v>82</v>
      </c>
      <c r="G96" s="15"/>
      <c r="H96" s="14"/>
      <c r="I96" s="14"/>
    </row>
    <row r="97" customFormat="false" ht="15" hidden="false" customHeight="false" outlineLevel="0" collapsed="false">
      <c r="A97" s="14" t="s">
        <v>1022</v>
      </c>
      <c r="B97" s="14" t="s">
        <v>1023</v>
      </c>
      <c r="C97" s="14" t="s">
        <v>1024</v>
      </c>
      <c r="D97" s="14" t="s">
        <v>522</v>
      </c>
      <c r="E97" s="14" t="s">
        <v>748</v>
      </c>
      <c r="F97" s="14" t="s">
        <v>82</v>
      </c>
      <c r="G97" s="15"/>
      <c r="H97" s="14"/>
      <c r="I97" s="14"/>
    </row>
    <row r="98" customFormat="false" ht="15" hidden="false" customHeight="false" outlineLevel="0" collapsed="false">
      <c r="A98" s="14" t="s">
        <v>1025</v>
      </c>
      <c r="B98" s="14" t="s">
        <v>1026</v>
      </c>
      <c r="C98" s="14" t="s">
        <v>1027</v>
      </c>
      <c r="D98" s="14" t="s">
        <v>522</v>
      </c>
      <c r="E98" s="14" t="s">
        <v>748</v>
      </c>
      <c r="F98" s="14" t="s">
        <v>82</v>
      </c>
      <c r="G98" s="15"/>
      <c r="H98" s="14"/>
      <c r="I98" s="14"/>
    </row>
    <row r="99" customFormat="false" ht="15" hidden="false" customHeight="false" outlineLevel="0" collapsed="false">
      <c r="A99" s="14" t="s">
        <v>1028</v>
      </c>
      <c r="B99" s="14" t="s">
        <v>1029</v>
      </c>
      <c r="C99" s="14" t="s">
        <v>1030</v>
      </c>
      <c r="D99" s="14" t="s">
        <v>522</v>
      </c>
      <c r="E99" s="14" t="s">
        <v>748</v>
      </c>
      <c r="F99" s="14" t="s">
        <v>82</v>
      </c>
      <c r="G99" s="15"/>
      <c r="H99" s="14"/>
      <c r="I99" s="14"/>
    </row>
    <row r="100" customFormat="false" ht="15" hidden="false" customHeight="false" outlineLevel="0" collapsed="false">
      <c r="A100" s="14" t="s">
        <v>1031</v>
      </c>
      <c r="B100" s="14" t="s">
        <v>941</v>
      </c>
      <c r="C100" s="14" t="s">
        <v>1032</v>
      </c>
      <c r="D100" s="14" t="s">
        <v>522</v>
      </c>
      <c r="E100" s="14" t="s">
        <v>748</v>
      </c>
      <c r="F100" s="14" t="s">
        <v>82</v>
      </c>
      <c r="G100" s="15"/>
      <c r="H100" s="14"/>
      <c r="I100" s="14"/>
    </row>
    <row r="101" customFormat="false" ht="15" hidden="false" customHeight="false" outlineLevel="0" collapsed="false">
      <c r="A101" s="14" t="s">
        <v>1033</v>
      </c>
      <c r="B101" s="14" t="s">
        <v>1034</v>
      </c>
      <c r="C101" s="14" t="s">
        <v>1035</v>
      </c>
      <c r="D101" s="14" t="s">
        <v>522</v>
      </c>
      <c r="E101" s="14" t="s">
        <v>748</v>
      </c>
      <c r="F101" s="14" t="s">
        <v>82</v>
      </c>
      <c r="G101" s="15"/>
      <c r="H101" s="14"/>
      <c r="I101" s="14"/>
    </row>
    <row r="102" customFormat="false" ht="15" hidden="false" customHeight="false" outlineLevel="0" collapsed="false">
      <c r="A102" s="14" t="s">
        <v>1036</v>
      </c>
      <c r="B102" s="14" t="s">
        <v>1037</v>
      </c>
      <c r="C102" s="14" t="s">
        <v>1038</v>
      </c>
      <c r="D102" s="14" t="s">
        <v>522</v>
      </c>
      <c r="E102" s="14" t="s">
        <v>748</v>
      </c>
      <c r="F102" s="14" t="s">
        <v>82</v>
      </c>
      <c r="G102" s="15"/>
      <c r="H102" s="14"/>
      <c r="I102" s="14"/>
    </row>
    <row r="103" customFormat="false" ht="15" hidden="false" customHeight="false" outlineLevel="0" collapsed="false">
      <c r="A103" s="14" t="s">
        <v>1039</v>
      </c>
      <c r="B103" s="14" t="s">
        <v>1040</v>
      </c>
      <c r="C103" s="14" t="s">
        <v>1041</v>
      </c>
      <c r="D103" s="14" t="s">
        <v>522</v>
      </c>
      <c r="E103" s="14" t="s">
        <v>748</v>
      </c>
      <c r="F103" s="14" t="s">
        <v>82</v>
      </c>
      <c r="G103" s="15"/>
      <c r="H103" s="14"/>
      <c r="I103"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3"/>
    <col collapsed="false" customWidth="true" hidden="false" outlineLevel="0" max="2" min="2" style="0" width="21"/>
  </cols>
  <sheetData>
    <row r="1" customFormat="false" ht="15" hidden="false" customHeight="false" outlineLevel="0" collapsed="false">
      <c r="A1" s="13" t="s">
        <v>98</v>
      </c>
      <c r="B1" s="13" t="s">
        <v>122</v>
      </c>
    </row>
    <row r="2" customFormat="false" ht="15" hidden="false" customHeight="false" outlineLevel="0" collapsed="false">
      <c r="A2" s="14" t="s">
        <v>969</v>
      </c>
      <c r="B2" s="14" t="s">
        <v>824</v>
      </c>
    </row>
    <row r="3" customFormat="false" ht="15" hidden="false" customHeight="false" outlineLevel="0" collapsed="false">
      <c r="A3" s="14" t="s">
        <v>996</v>
      </c>
      <c r="B3" s="15"/>
    </row>
    <row r="4" customFormat="false" ht="15" hidden="false" customHeight="false" outlineLevel="0" collapsed="false">
      <c r="A4" s="14" t="s">
        <v>998</v>
      </c>
      <c r="B4" s="15"/>
    </row>
    <row r="5" customFormat="false" ht="15" hidden="false" customHeight="false" outlineLevel="0" collapsed="false">
      <c r="A5" s="14" t="s">
        <v>1017</v>
      </c>
      <c r="B5" s="14" t="s">
        <v>841</v>
      </c>
    </row>
    <row r="6" customFormat="false" ht="15" hidden="false" customHeight="false" outlineLevel="0" collapsed="false">
      <c r="A6" s="14" t="s">
        <v>1001</v>
      </c>
      <c r="B6" s="15"/>
    </row>
    <row r="7" customFormat="false" ht="15" hidden="false" customHeight="false" outlineLevel="0" collapsed="false">
      <c r="A7" s="14" t="s">
        <v>1020</v>
      </c>
      <c r="B7" s="14" t="s">
        <v>841</v>
      </c>
    </row>
    <row r="8" customFormat="false" ht="15" hidden="false" customHeight="false" outlineLevel="0" collapsed="false">
      <c r="A8" s="14" t="s">
        <v>847</v>
      </c>
      <c r="B8" s="14" t="s">
        <v>807</v>
      </c>
    </row>
    <row r="9" customFormat="false" ht="15" hidden="false" customHeight="false" outlineLevel="0" collapsed="false">
      <c r="A9" s="14" t="s">
        <v>1022</v>
      </c>
      <c r="B9" s="14" t="s">
        <v>841</v>
      </c>
    </row>
    <row r="10" customFormat="false" ht="15" hidden="false" customHeight="false" outlineLevel="0" collapsed="false">
      <c r="A10" s="14" t="s">
        <v>971</v>
      </c>
      <c r="B10" s="14" t="s">
        <v>824</v>
      </c>
    </row>
    <row r="11" customFormat="false" ht="15" hidden="false" customHeight="false" outlineLevel="0" collapsed="false">
      <c r="A11" s="14" t="s">
        <v>922</v>
      </c>
      <c r="B11" s="14" t="s">
        <v>816</v>
      </c>
    </row>
    <row r="12" customFormat="false" ht="15" hidden="false" customHeight="false" outlineLevel="0" collapsed="false">
      <c r="A12" s="14" t="s">
        <v>925</v>
      </c>
      <c r="B12" s="14" t="s">
        <v>818</v>
      </c>
    </row>
    <row r="13" customFormat="false" ht="15" hidden="false" customHeight="false" outlineLevel="0" collapsed="false">
      <c r="A13" s="14" t="s">
        <v>850</v>
      </c>
      <c r="B13" s="14" t="s">
        <v>810</v>
      </c>
    </row>
    <row r="14" customFormat="false" ht="15" hidden="false" customHeight="false" outlineLevel="0" collapsed="false">
      <c r="A14" s="14" t="s">
        <v>974</v>
      </c>
      <c r="B14" s="14" t="s">
        <v>824</v>
      </c>
    </row>
    <row r="15" customFormat="false" ht="15" hidden="false" customHeight="false" outlineLevel="0" collapsed="false">
      <c r="A15" s="14" t="s">
        <v>852</v>
      </c>
      <c r="B15" s="14" t="s">
        <v>807</v>
      </c>
    </row>
    <row r="16" customFormat="false" ht="15" hidden="false" customHeight="false" outlineLevel="0" collapsed="false">
      <c r="A16" s="14" t="s">
        <v>1025</v>
      </c>
      <c r="B16" s="14" t="s">
        <v>841</v>
      </c>
    </row>
    <row r="17" customFormat="false" ht="15" hidden="false" customHeight="false" outlineLevel="0" collapsed="false">
      <c r="A17" s="14" t="s">
        <v>855</v>
      </c>
      <c r="B17" s="14" t="s">
        <v>807</v>
      </c>
    </row>
    <row r="18" customFormat="false" ht="15" hidden="false" customHeight="false" outlineLevel="0" collapsed="false">
      <c r="A18" s="14" t="s">
        <v>858</v>
      </c>
      <c r="B18" s="14" t="s">
        <v>807</v>
      </c>
    </row>
    <row r="19" customFormat="false" ht="15" hidden="false" customHeight="false" outlineLevel="0" collapsed="false">
      <c r="A19" s="14" t="s">
        <v>1004</v>
      </c>
      <c r="B19" s="15"/>
    </row>
    <row r="20" customFormat="false" ht="15" hidden="false" customHeight="false" outlineLevel="0" collapsed="false">
      <c r="A20" s="14" t="s">
        <v>928</v>
      </c>
      <c r="B20" s="14" t="s">
        <v>816</v>
      </c>
    </row>
    <row r="21" customFormat="false" ht="15" hidden="false" customHeight="false" outlineLevel="0" collapsed="false">
      <c r="A21" s="14" t="s">
        <v>861</v>
      </c>
      <c r="B21" s="14" t="s">
        <v>807</v>
      </c>
    </row>
    <row r="22" customFormat="false" ht="15" hidden="false" customHeight="false" outlineLevel="0" collapsed="false">
      <c r="A22" s="14" t="s">
        <v>1006</v>
      </c>
      <c r="B22" s="15"/>
    </row>
    <row r="23" customFormat="false" ht="15" hidden="false" customHeight="false" outlineLevel="0" collapsed="false">
      <c r="A23" s="14" t="s">
        <v>864</v>
      </c>
      <c r="B23" s="14" t="s">
        <v>810</v>
      </c>
    </row>
    <row r="24" customFormat="false" ht="15" hidden="false" customHeight="false" outlineLevel="0" collapsed="false">
      <c r="A24" s="14" t="s">
        <v>866</v>
      </c>
      <c r="B24" s="14" t="s">
        <v>807</v>
      </c>
    </row>
    <row r="25" customFormat="false" ht="15" hidden="false" customHeight="false" outlineLevel="0" collapsed="false">
      <c r="A25" s="14" t="s">
        <v>869</v>
      </c>
      <c r="B25" s="14" t="s">
        <v>807</v>
      </c>
    </row>
    <row r="26" customFormat="false" ht="15" hidden="false" customHeight="false" outlineLevel="0" collapsed="false">
      <c r="A26" s="14" t="s">
        <v>977</v>
      </c>
      <c r="B26" s="14" t="s">
        <v>824</v>
      </c>
    </row>
    <row r="27" customFormat="false" ht="15" hidden="false" customHeight="false" outlineLevel="0" collapsed="false">
      <c r="A27" s="14" t="s">
        <v>872</v>
      </c>
      <c r="B27" s="14" t="s">
        <v>807</v>
      </c>
    </row>
    <row r="28" customFormat="false" ht="15" hidden="false" customHeight="false" outlineLevel="0" collapsed="false">
      <c r="A28" s="14" t="s">
        <v>980</v>
      </c>
      <c r="B28" s="14" t="s">
        <v>824</v>
      </c>
    </row>
    <row r="29" customFormat="false" ht="15" hidden="false" customHeight="false" outlineLevel="0" collapsed="false">
      <c r="A29" s="14" t="s">
        <v>875</v>
      </c>
      <c r="B29" s="14" t="s">
        <v>807</v>
      </c>
    </row>
    <row r="30" customFormat="false" ht="15" hidden="false" customHeight="false" outlineLevel="0" collapsed="false">
      <c r="A30" s="14" t="s">
        <v>983</v>
      </c>
      <c r="B30" s="14" t="s">
        <v>824</v>
      </c>
    </row>
    <row r="31" customFormat="false" ht="15" hidden="false" customHeight="false" outlineLevel="0" collapsed="false">
      <c r="A31" s="14" t="s">
        <v>931</v>
      </c>
      <c r="B31" s="14" t="s">
        <v>818</v>
      </c>
    </row>
    <row r="32" customFormat="false" ht="15" hidden="false" customHeight="false" outlineLevel="0" collapsed="false">
      <c r="A32" s="14" t="s">
        <v>878</v>
      </c>
      <c r="B32" s="14" t="s">
        <v>807</v>
      </c>
    </row>
    <row r="33" customFormat="false" ht="15" hidden="false" customHeight="false" outlineLevel="0" collapsed="false">
      <c r="A33" s="14" t="s">
        <v>880</v>
      </c>
      <c r="B33" s="14" t="s">
        <v>810</v>
      </c>
    </row>
    <row r="34" customFormat="false" ht="15" hidden="false" customHeight="false" outlineLevel="0" collapsed="false">
      <c r="A34" s="14" t="s">
        <v>934</v>
      </c>
      <c r="B34" s="14" t="s">
        <v>818</v>
      </c>
    </row>
    <row r="35" customFormat="false" ht="15" hidden="false" customHeight="false" outlineLevel="0" collapsed="false">
      <c r="A35" s="14" t="s">
        <v>937</v>
      </c>
      <c r="B35" s="14" t="s">
        <v>818</v>
      </c>
    </row>
    <row r="36" customFormat="false" ht="15" hidden="false" customHeight="false" outlineLevel="0" collapsed="false">
      <c r="A36" s="14" t="s">
        <v>882</v>
      </c>
      <c r="B36" s="14" t="s">
        <v>807</v>
      </c>
    </row>
    <row r="37" customFormat="false" ht="15" hidden="false" customHeight="false" outlineLevel="0" collapsed="false">
      <c r="A37" s="14" t="s">
        <v>885</v>
      </c>
      <c r="B37" s="14" t="s">
        <v>807</v>
      </c>
    </row>
    <row r="38" customFormat="false" ht="15" hidden="false" customHeight="false" outlineLevel="0" collapsed="false">
      <c r="A38" s="14" t="s">
        <v>1028</v>
      </c>
      <c r="B38" s="14" t="s">
        <v>841</v>
      </c>
    </row>
    <row r="39" customFormat="false" ht="15" hidden="false" customHeight="false" outlineLevel="0" collapsed="false">
      <c r="A39" s="14" t="s">
        <v>1009</v>
      </c>
      <c r="B39" s="15"/>
    </row>
    <row r="40" customFormat="false" ht="15" hidden="false" customHeight="false" outlineLevel="0" collapsed="false">
      <c r="A40" s="14" t="s">
        <v>940</v>
      </c>
      <c r="B40" s="14" t="s">
        <v>816</v>
      </c>
    </row>
    <row r="41" customFormat="false" ht="15" hidden="false" customHeight="false" outlineLevel="0" collapsed="false">
      <c r="A41" s="14" t="s">
        <v>1012</v>
      </c>
      <c r="B41" s="15"/>
    </row>
    <row r="42" customFormat="false" ht="15" hidden="false" customHeight="false" outlineLevel="0" collapsed="false">
      <c r="A42" s="14" t="s">
        <v>1031</v>
      </c>
      <c r="B42" s="14" t="s">
        <v>841</v>
      </c>
    </row>
    <row r="43" customFormat="false" ht="15" hidden="false" customHeight="false" outlineLevel="0" collapsed="false">
      <c r="A43" s="14" t="s">
        <v>943</v>
      </c>
      <c r="B43" s="14" t="s">
        <v>818</v>
      </c>
    </row>
    <row r="44" customFormat="false" ht="15" hidden="false" customHeight="false" outlineLevel="0" collapsed="false">
      <c r="A44" s="14" t="s">
        <v>986</v>
      </c>
      <c r="B44" s="14" t="s">
        <v>824</v>
      </c>
    </row>
    <row r="45" customFormat="false" ht="15" hidden="false" customHeight="false" outlineLevel="0" collapsed="false">
      <c r="A45" s="14" t="s">
        <v>945</v>
      </c>
      <c r="B45" s="14" t="s">
        <v>818</v>
      </c>
    </row>
    <row r="46" customFormat="false" ht="15" hidden="false" customHeight="false" outlineLevel="0" collapsed="false">
      <c r="A46" s="14" t="s">
        <v>948</v>
      </c>
      <c r="B46" s="14" t="s">
        <v>816</v>
      </c>
    </row>
    <row r="47" customFormat="false" ht="15" hidden="false" customHeight="false" outlineLevel="0" collapsed="false">
      <c r="A47" s="14" t="s">
        <v>888</v>
      </c>
      <c r="B47" s="14" t="s">
        <v>807</v>
      </c>
    </row>
    <row r="48" customFormat="false" ht="15" hidden="false" customHeight="false" outlineLevel="0" collapsed="false">
      <c r="A48" s="14" t="s">
        <v>1033</v>
      </c>
      <c r="B48" s="14" t="s">
        <v>841</v>
      </c>
    </row>
    <row r="49" customFormat="false" ht="15" hidden="false" customHeight="false" outlineLevel="0" collapsed="false">
      <c r="A49" s="14" t="s">
        <v>1014</v>
      </c>
      <c r="B49" s="15"/>
    </row>
    <row r="50" customFormat="false" ht="15" hidden="false" customHeight="false" outlineLevel="0" collapsed="false">
      <c r="A50" s="14" t="s">
        <v>1036</v>
      </c>
      <c r="B50" s="14" t="s">
        <v>841</v>
      </c>
    </row>
    <row r="51" customFormat="false" ht="15" hidden="false" customHeight="false" outlineLevel="0" collapsed="false">
      <c r="A51" s="14" t="s">
        <v>891</v>
      </c>
      <c r="B51" s="14" t="s">
        <v>807</v>
      </c>
    </row>
    <row r="52" customFormat="false" ht="15" hidden="false" customHeight="false" outlineLevel="0" collapsed="false">
      <c r="A52" s="14" t="s">
        <v>989</v>
      </c>
      <c r="B52" s="14" t="s">
        <v>824</v>
      </c>
    </row>
    <row r="53" customFormat="false" ht="15" hidden="false" customHeight="false" outlineLevel="0" collapsed="false">
      <c r="A53" s="14" t="s">
        <v>951</v>
      </c>
      <c r="B53" s="14" t="s">
        <v>816</v>
      </c>
    </row>
    <row r="54" customFormat="false" ht="15" hidden="false" customHeight="false" outlineLevel="0" collapsed="false">
      <c r="A54" s="14" t="s">
        <v>894</v>
      </c>
      <c r="B54" s="14" t="s">
        <v>807</v>
      </c>
    </row>
    <row r="55" customFormat="false" ht="15" hidden="false" customHeight="false" outlineLevel="0" collapsed="false">
      <c r="A55" s="14" t="s">
        <v>1039</v>
      </c>
      <c r="B55" s="14" t="s">
        <v>841</v>
      </c>
    </row>
    <row r="56" customFormat="false" ht="15" hidden="false" customHeight="false" outlineLevel="0" collapsed="false">
      <c r="A56" s="14" t="s">
        <v>897</v>
      </c>
      <c r="B56" s="14" t="s">
        <v>810</v>
      </c>
    </row>
    <row r="57" customFormat="false" ht="15" hidden="false" customHeight="false" outlineLevel="0" collapsed="false">
      <c r="A57" s="14" t="s">
        <v>900</v>
      </c>
      <c r="B57" s="14" t="s">
        <v>810</v>
      </c>
    </row>
    <row r="58" customFormat="false" ht="15" hidden="false" customHeight="false" outlineLevel="0" collapsed="false">
      <c r="A58" s="14" t="s">
        <v>902</v>
      </c>
      <c r="B58" s="14" t="s">
        <v>807</v>
      </c>
    </row>
    <row r="59" customFormat="false" ht="15" hidden="false" customHeight="false" outlineLevel="0" collapsed="false">
      <c r="A59" s="14" t="s">
        <v>992</v>
      </c>
      <c r="B59" s="14" t="s">
        <v>824</v>
      </c>
    </row>
    <row r="60" customFormat="false" ht="15" hidden="false" customHeight="false" outlineLevel="0" collapsed="false">
      <c r="A60" s="14" t="s">
        <v>954</v>
      </c>
      <c r="B60" s="14" t="s">
        <v>818</v>
      </c>
    </row>
    <row r="61" customFormat="false" ht="15" hidden="false" customHeight="false" outlineLevel="0" collapsed="false">
      <c r="A61" s="14" t="s">
        <v>957</v>
      </c>
      <c r="B61" s="14" t="s">
        <v>816</v>
      </c>
    </row>
    <row r="62" customFormat="false" ht="15" hidden="false" customHeight="false" outlineLevel="0" collapsed="false">
      <c r="A62" s="14" t="s">
        <v>905</v>
      </c>
      <c r="B62" s="14" t="s">
        <v>807</v>
      </c>
    </row>
    <row r="63" customFormat="false" ht="15" hidden="false" customHeight="false" outlineLevel="0" collapsed="false">
      <c r="A63" s="14" t="s">
        <v>908</v>
      </c>
      <c r="B63" s="14" t="s">
        <v>810</v>
      </c>
    </row>
    <row r="64" customFormat="false" ht="15" hidden="false" customHeight="false" outlineLevel="0" collapsed="false">
      <c r="A64" s="14" t="s">
        <v>911</v>
      </c>
      <c r="B64" s="14" t="s">
        <v>807</v>
      </c>
    </row>
    <row r="65" customFormat="false" ht="15" hidden="false" customHeight="false" outlineLevel="0" collapsed="false">
      <c r="A65" s="14" t="s">
        <v>960</v>
      </c>
      <c r="B65" s="14" t="s">
        <v>816</v>
      </c>
    </row>
    <row r="66" customFormat="false" ht="15" hidden="false" customHeight="false" outlineLevel="0" collapsed="false">
      <c r="A66" s="14" t="s">
        <v>963</v>
      </c>
      <c r="B66" s="14" t="s">
        <v>818</v>
      </c>
    </row>
    <row r="67" customFormat="false" ht="15" hidden="false" customHeight="false" outlineLevel="0" collapsed="false">
      <c r="A67" s="14" t="s">
        <v>966</v>
      </c>
      <c r="B67" s="14" t="s">
        <v>816</v>
      </c>
    </row>
    <row r="68" customFormat="false" ht="15" hidden="false" customHeight="false" outlineLevel="0" collapsed="false">
      <c r="A68" s="14" t="s">
        <v>994</v>
      </c>
      <c r="B68" s="14" t="s">
        <v>824</v>
      </c>
    </row>
    <row r="69" customFormat="false" ht="15" hidden="false" customHeight="false" outlineLevel="0" collapsed="false">
      <c r="A69" s="14" t="s">
        <v>914</v>
      </c>
      <c r="B69" s="14" t="s">
        <v>810</v>
      </c>
    </row>
    <row r="70" customFormat="false" ht="15" hidden="false" customHeight="false" outlineLevel="0" collapsed="false">
      <c r="A70" s="14" t="s">
        <v>917</v>
      </c>
      <c r="B70" s="14" t="s">
        <v>810</v>
      </c>
    </row>
    <row r="71" customFormat="false" ht="15" hidden="false" customHeight="false" outlineLevel="0" collapsed="false">
      <c r="A71" s="14" t="s">
        <v>920</v>
      </c>
      <c r="B71" s="14" t="s">
        <v>810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7"/>
    <col collapsed="false" customWidth="true" hidden="false" outlineLevel="0" max="3" min="3" style="0" width="10"/>
  </cols>
  <sheetData>
    <row r="1" customFormat="false" ht="15" hidden="false" customHeight="false" outlineLevel="0" collapsed="false">
      <c r="A1" s="13" t="s">
        <v>79</v>
      </c>
      <c r="B1" s="13" t="s">
        <v>145</v>
      </c>
      <c r="C1" s="13" t="s">
        <v>65</v>
      </c>
    </row>
    <row r="2" customFormat="false" ht="15" hidden="false" customHeight="false" outlineLevel="0" collapsed="false">
      <c r="A2" s="14" t="s">
        <v>1042</v>
      </c>
      <c r="B2" s="14" t="s">
        <v>775</v>
      </c>
      <c r="C2" s="14" t="s">
        <v>740</v>
      </c>
    </row>
    <row r="3" customFormat="false" ht="15" hidden="false" customHeight="false" outlineLevel="0" collapsed="false">
      <c r="A3" s="14" t="s">
        <v>1043</v>
      </c>
      <c r="B3" s="14" t="s">
        <v>763</v>
      </c>
      <c r="C3" s="14" t="s">
        <v>744</v>
      </c>
    </row>
    <row r="4" customFormat="false" ht="15" hidden="false" customHeight="false" outlineLevel="0" collapsed="false">
      <c r="A4" s="14" t="s">
        <v>1044</v>
      </c>
      <c r="B4" s="14" t="s">
        <v>790</v>
      </c>
      <c r="C4" s="14" t="s">
        <v>748</v>
      </c>
    </row>
    <row r="5" customFormat="false" ht="15" hidden="false" customHeight="false" outlineLevel="0" collapsed="false">
      <c r="A5" s="14" t="s">
        <v>1045</v>
      </c>
      <c r="B5" s="14" t="s">
        <v>760</v>
      </c>
      <c r="C5" s="14" t="s">
        <v>748</v>
      </c>
    </row>
    <row r="6" customFormat="false" ht="15" hidden="false" customHeight="false" outlineLevel="0" collapsed="false">
      <c r="A6" s="14" t="s">
        <v>1046</v>
      </c>
      <c r="B6" s="14" t="s">
        <v>784</v>
      </c>
      <c r="C6" s="14" t="s">
        <v>742</v>
      </c>
    </row>
    <row r="7" customFormat="false" ht="15" hidden="false" customHeight="false" outlineLevel="0" collapsed="false">
      <c r="A7" s="14" t="s">
        <v>1047</v>
      </c>
      <c r="B7" s="14" t="s">
        <v>796</v>
      </c>
      <c r="C7" s="14" t="s">
        <v>742</v>
      </c>
    </row>
    <row r="8" customFormat="false" ht="15" hidden="false" customHeight="false" outlineLevel="0" collapsed="false">
      <c r="A8" s="14" t="s">
        <v>1048</v>
      </c>
      <c r="B8" s="14" t="s">
        <v>754</v>
      </c>
      <c r="C8" s="14" t="s">
        <v>746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5"/>
    <col collapsed="false" customWidth="true" hidden="false" outlineLevel="0" max="3" min="3" style="0" width="23"/>
    <col collapsed="false" customWidth="true" hidden="false" outlineLevel="0" max="4" min="4" style="0" width="12"/>
    <col collapsed="false" customWidth="true" hidden="false" outlineLevel="0" max="6" min="5" style="0" width="10"/>
    <col collapsed="false" customWidth="true" hidden="false" outlineLevel="0" max="7" min="7" style="0" width="43"/>
  </cols>
  <sheetData>
    <row r="1" customFormat="false" ht="15" hidden="false" customHeight="false" outlineLevel="0" collapsed="false">
      <c r="A1" s="13" t="s">
        <v>150</v>
      </c>
      <c r="B1" s="13" t="s">
        <v>152</v>
      </c>
      <c r="C1" s="13" t="s">
        <v>154</v>
      </c>
      <c r="D1" s="13" t="s">
        <v>157</v>
      </c>
      <c r="E1" s="13" t="s">
        <v>65</v>
      </c>
      <c r="F1" s="13" t="s">
        <v>126</v>
      </c>
      <c r="G1" s="13" t="s">
        <v>161</v>
      </c>
    </row>
    <row r="2" customFormat="false" ht="15" hidden="false" customHeight="false" outlineLevel="0" collapsed="false">
      <c r="A2" s="14" t="s">
        <v>1049</v>
      </c>
      <c r="B2" s="14" t="s">
        <v>1050</v>
      </c>
      <c r="C2" s="14" t="s">
        <v>1051</v>
      </c>
      <c r="D2" s="14" t="s">
        <v>648</v>
      </c>
      <c r="E2" s="14" t="s">
        <v>740</v>
      </c>
      <c r="F2" s="14" t="s">
        <v>82</v>
      </c>
      <c r="G2" s="14"/>
    </row>
    <row r="3" customFormat="false" ht="15" hidden="false" customHeight="false" outlineLevel="0" collapsed="false">
      <c r="A3" s="14" t="s">
        <v>1052</v>
      </c>
      <c r="B3" s="14" t="s">
        <v>1053</v>
      </c>
      <c r="C3" s="14" t="s">
        <v>1054</v>
      </c>
      <c r="D3" s="14" t="s">
        <v>648</v>
      </c>
      <c r="E3" s="14" t="s">
        <v>740</v>
      </c>
      <c r="F3" s="14" t="s">
        <v>82</v>
      </c>
      <c r="G3" s="14"/>
    </row>
    <row r="4" customFormat="false" ht="15" hidden="false" customHeight="false" outlineLevel="0" collapsed="false">
      <c r="A4" s="14" t="s">
        <v>1055</v>
      </c>
      <c r="B4" s="14" t="s">
        <v>1056</v>
      </c>
      <c r="C4" s="14" t="s">
        <v>1057</v>
      </c>
      <c r="D4" s="14" t="s">
        <v>648</v>
      </c>
      <c r="E4" s="14" t="s">
        <v>740</v>
      </c>
      <c r="F4" s="14" t="s">
        <v>82</v>
      </c>
      <c r="G4" s="14"/>
    </row>
    <row r="5" customFormat="false" ht="15" hidden="false" customHeight="false" outlineLevel="0" collapsed="false">
      <c r="A5" s="14" t="s">
        <v>1058</v>
      </c>
      <c r="B5" s="14" t="s">
        <v>1059</v>
      </c>
      <c r="C5" s="14" t="s">
        <v>1059</v>
      </c>
      <c r="D5" s="14" t="s">
        <v>648</v>
      </c>
      <c r="E5" s="14" t="s">
        <v>740</v>
      </c>
      <c r="F5" s="14" t="s">
        <v>82</v>
      </c>
      <c r="G5" s="14"/>
    </row>
    <row r="6" customFormat="false" ht="15" hidden="false" customHeight="false" outlineLevel="0" collapsed="false">
      <c r="A6" s="14" t="s">
        <v>1060</v>
      </c>
      <c r="B6" s="14" t="s">
        <v>1061</v>
      </c>
      <c r="C6" s="14" t="s">
        <v>1060</v>
      </c>
      <c r="D6" s="14" t="s">
        <v>648</v>
      </c>
      <c r="E6" s="14" t="s">
        <v>740</v>
      </c>
      <c r="F6" s="14" t="s">
        <v>82</v>
      </c>
      <c r="G6" s="14"/>
    </row>
    <row r="7" customFormat="false" ht="15" hidden="false" customHeight="false" outlineLevel="0" collapsed="false">
      <c r="A7" s="14" t="s">
        <v>1062</v>
      </c>
      <c r="B7" s="14" t="s">
        <v>1063</v>
      </c>
      <c r="C7" s="14" t="s">
        <v>1064</v>
      </c>
      <c r="D7" s="14" t="s">
        <v>648</v>
      </c>
      <c r="E7" s="14" t="s">
        <v>740</v>
      </c>
      <c r="F7" s="14" t="s">
        <v>82</v>
      </c>
      <c r="G7" s="14"/>
    </row>
    <row r="8" customFormat="false" ht="15" hidden="false" customHeight="false" outlineLevel="0" collapsed="false">
      <c r="A8" s="14" t="s">
        <v>1065</v>
      </c>
      <c r="B8" s="14" t="s">
        <v>1066</v>
      </c>
      <c r="C8" s="14" t="s">
        <v>1067</v>
      </c>
      <c r="D8" s="14" t="s">
        <v>648</v>
      </c>
      <c r="E8" s="14" t="s">
        <v>740</v>
      </c>
      <c r="F8" s="14" t="s">
        <v>82</v>
      </c>
      <c r="G8" s="14"/>
    </row>
    <row r="9" customFormat="false" ht="15" hidden="false" customHeight="false" outlineLevel="0" collapsed="false">
      <c r="A9" s="14" t="s">
        <v>1068</v>
      </c>
      <c r="B9" s="14" t="s">
        <v>1069</v>
      </c>
      <c r="C9" s="14" t="s">
        <v>1068</v>
      </c>
      <c r="D9" s="14" t="s">
        <v>648</v>
      </c>
      <c r="E9" s="14" t="s">
        <v>740</v>
      </c>
      <c r="F9" s="14" t="s">
        <v>82</v>
      </c>
      <c r="G9" s="5" t="s">
        <v>1070</v>
      </c>
    </row>
    <row r="10" customFormat="false" ht="15" hidden="false" customHeight="false" outlineLevel="0" collapsed="false">
      <c r="A10" s="14" t="s">
        <v>1071</v>
      </c>
      <c r="B10" s="14" t="s">
        <v>1072</v>
      </c>
      <c r="C10" s="14" t="s">
        <v>1071</v>
      </c>
      <c r="D10" s="14" t="s">
        <v>648</v>
      </c>
      <c r="E10" s="14" t="s">
        <v>748</v>
      </c>
      <c r="F10" s="14" t="s">
        <v>82</v>
      </c>
      <c r="G10" s="14"/>
    </row>
    <row r="11" customFormat="false" ht="15" hidden="false" customHeight="false" outlineLevel="0" collapsed="false">
      <c r="A11" s="14" t="s">
        <v>1073</v>
      </c>
      <c r="B11" s="14" t="s">
        <v>1074</v>
      </c>
      <c r="C11" s="14" t="s">
        <v>1075</v>
      </c>
      <c r="D11" s="14" t="s">
        <v>648</v>
      </c>
      <c r="E11" s="14" t="s">
        <v>748</v>
      </c>
      <c r="F11" s="14" t="s">
        <v>82</v>
      </c>
      <c r="G11" s="14"/>
    </row>
    <row r="12" customFormat="false" ht="15" hidden="false" customHeight="false" outlineLevel="0" collapsed="false">
      <c r="A12" s="14" t="s">
        <v>1076</v>
      </c>
      <c r="B12" s="14" t="s">
        <v>1077</v>
      </c>
      <c r="C12" s="14" t="s">
        <v>1076</v>
      </c>
      <c r="D12" s="14" t="s">
        <v>648</v>
      </c>
      <c r="E12" s="14" t="s">
        <v>748</v>
      </c>
      <c r="F12" s="14" t="s">
        <v>82</v>
      </c>
      <c r="G12" s="14"/>
    </row>
    <row r="13" customFormat="false" ht="15" hidden="false" customHeight="false" outlineLevel="0" collapsed="false">
      <c r="A13" s="14" t="s">
        <v>1078</v>
      </c>
      <c r="B13" s="14" t="s">
        <v>1079</v>
      </c>
      <c r="C13" s="14" t="s">
        <v>1080</v>
      </c>
      <c r="D13" s="14" t="s">
        <v>648</v>
      </c>
      <c r="E13" s="14" t="s">
        <v>748</v>
      </c>
      <c r="F13" s="14" t="s">
        <v>82</v>
      </c>
      <c r="G13" s="14"/>
    </row>
    <row r="14" customFormat="false" ht="15" hidden="false" customHeight="false" outlineLevel="0" collapsed="false">
      <c r="A14" s="14" t="s">
        <v>1081</v>
      </c>
      <c r="B14" s="14" t="s">
        <v>1082</v>
      </c>
      <c r="C14" s="14" t="s">
        <v>1083</v>
      </c>
      <c r="D14" s="14" t="s">
        <v>648</v>
      </c>
      <c r="E14" s="14" t="s">
        <v>748</v>
      </c>
      <c r="F14" s="14" t="s">
        <v>82</v>
      </c>
      <c r="G14" s="14"/>
    </row>
    <row r="15" customFormat="false" ht="15" hidden="false" customHeight="false" outlineLevel="0" collapsed="false">
      <c r="A15" s="14" t="s">
        <v>1084</v>
      </c>
      <c r="B15" s="14" t="s">
        <v>1085</v>
      </c>
      <c r="C15" s="14" t="s">
        <v>1084</v>
      </c>
      <c r="D15" s="14" t="s">
        <v>648</v>
      </c>
      <c r="E15" s="14" t="s">
        <v>742</v>
      </c>
      <c r="F15" s="14" t="s">
        <v>82</v>
      </c>
      <c r="G15" s="14"/>
    </row>
    <row r="16" customFormat="false" ht="15" hidden="false" customHeight="false" outlineLevel="0" collapsed="false">
      <c r="A16" s="14" t="s">
        <v>1086</v>
      </c>
      <c r="B16" s="14" t="s">
        <v>1087</v>
      </c>
      <c r="C16" s="14" t="s">
        <v>1086</v>
      </c>
      <c r="D16" s="14" t="s">
        <v>648</v>
      </c>
      <c r="E16" s="14" t="s">
        <v>742</v>
      </c>
      <c r="F16" s="14" t="s">
        <v>82</v>
      </c>
      <c r="G16" s="14"/>
    </row>
    <row r="17" customFormat="false" ht="15" hidden="false" customHeight="false" outlineLevel="0" collapsed="false">
      <c r="A17" s="14" t="s">
        <v>1088</v>
      </c>
      <c r="B17" s="14" t="s">
        <v>1089</v>
      </c>
      <c r="C17" s="14" t="s">
        <v>1088</v>
      </c>
      <c r="D17" s="14" t="s">
        <v>648</v>
      </c>
      <c r="E17" s="14" t="s">
        <v>742</v>
      </c>
      <c r="F17" s="14" t="s">
        <v>82</v>
      </c>
      <c r="G17" s="14"/>
    </row>
    <row r="18" customFormat="false" ht="15" hidden="false" customHeight="false" outlineLevel="0" collapsed="false">
      <c r="A18" s="14" t="s">
        <v>1090</v>
      </c>
      <c r="B18" s="14" t="s">
        <v>1091</v>
      </c>
      <c r="C18" s="14" t="s">
        <v>1092</v>
      </c>
      <c r="D18" s="14" t="s">
        <v>648</v>
      </c>
      <c r="E18" s="14" t="s">
        <v>742</v>
      </c>
      <c r="F18" s="14" t="s">
        <v>82</v>
      </c>
      <c r="G18" s="14"/>
    </row>
    <row r="19" customFormat="false" ht="15" hidden="false" customHeight="false" outlineLevel="0" collapsed="false">
      <c r="A19" s="14" t="s">
        <v>1093</v>
      </c>
      <c r="B19" s="14" t="s">
        <v>1094</v>
      </c>
      <c r="C19" s="14" t="s">
        <v>1093</v>
      </c>
      <c r="D19" s="14" t="s">
        <v>648</v>
      </c>
      <c r="E19" s="14" t="s">
        <v>742</v>
      </c>
      <c r="F19" s="14" t="s">
        <v>82</v>
      </c>
      <c r="G19" s="14"/>
    </row>
    <row r="20" customFormat="false" ht="15" hidden="false" customHeight="false" outlineLevel="0" collapsed="false">
      <c r="A20" s="14" t="s">
        <v>1095</v>
      </c>
      <c r="B20" s="14" t="s">
        <v>1096</v>
      </c>
      <c r="C20" s="14" t="s">
        <v>1097</v>
      </c>
      <c r="D20" s="14" t="s">
        <v>648</v>
      </c>
      <c r="E20" s="14" t="s">
        <v>742</v>
      </c>
      <c r="F20" s="14" t="s">
        <v>82</v>
      </c>
      <c r="G20" s="14"/>
    </row>
    <row r="21" customFormat="false" ht="15" hidden="false" customHeight="false" outlineLevel="0" collapsed="false">
      <c r="A21" s="14" t="s">
        <v>1098</v>
      </c>
      <c r="B21" s="5" t="s">
        <v>1099</v>
      </c>
      <c r="C21" s="14" t="s">
        <v>1100</v>
      </c>
      <c r="D21" s="14" t="s">
        <v>648</v>
      </c>
      <c r="E21" s="14" t="s">
        <v>742</v>
      </c>
      <c r="F21" s="14" t="s">
        <v>82</v>
      </c>
      <c r="G21" s="14"/>
    </row>
    <row r="22" customFormat="false" ht="15" hidden="false" customHeight="false" outlineLevel="0" collapsed="false">
      <c r="A22" s="14" t="s">
        <v>1101</v>
      </c>
      <c r="B22" s="14" t="s">
        <v>1102</v>
      </c>
      <c r="C22" s="14" t="s">
        <v>1101</v>
      </c>
      <c r="D22" s="14" t="s">
        <v>648</v>
      </c>
      <c r="E22" s="14" t="s">
        <v>742</v>
      </c>
      <c r="F22" s="14" t="s">
        <v>82</v>
      </c>
      <c r="G22" s="14"/>
    </row>
    <row r="23" customFormat="false" ht="15" hidden="false" customHeight="false" outlineLevel="0" collapsed="false">
      <c r="A23" s="14" t="s">
        <v>1103</v>
      </c>
      <c r="B23" s="14" t="s">
        <v>1104</v>
      </c>
      <c r="C23" s="14" t="s">
        <v>1105</v>
      </c>
      <c r="D23" s="14" t="s">
        <v>648</v>
      </c>
      <c r="E23" s="14" t="s">
        <v>742</v>
      </c>
      <c r="F23" s="14" t="s">
        <v>82</v>
      </c>
      <c r="G23" s="14"/>
    </row>
    <row r="24" customFormat="false" ht="15" hidden="false" customHeight="false" outlineLevel="0" collapsed="false">
      <c r="A24" s="14" t="s">
        <v>1106</v>
      </c>
      <c r="B24" s="14" t="s">
        <v>1107</v>
      </c>
      <c r="C24" s="14" t="s">
        <v>1106</v>
      </c>
      <c r="D24" s="14" t="s">
        <v>648</v>
      </c>
      <c r="E24" s="14" t="s">
        <v>742</v>
      </c>
      <c r="F24" s="14" t="s">
        <v>82</v>
      </c>
      <c r="G24" s="14"/>
    </row>
    <row r="25" customFormat="false" ht="15" hidden="false" customHeight="false" outlineLevel="0" collapsed="false">
      <c r="A25" s="14" t="s">
        <v>1108</v>
      </c>
      <c r="B25" s="14" t="s">
        <v>1109</v>
      </c>
      <c r="C25" s="14" t="s">
        <v>1108</v>
      </c>
      <c r="D25" s="14" t="s">
        <v>648</v>
      </c>
      <c r="E25" s="14" t="s">
        <v>742</v>
      </c>
      <c r="F25" s="14" t="s">
        <v>82</v>
      </c>
      <c r="G25" s="14"/>
    </row>
    <row r="26" customFormat="false" ht="15" hidden="false" customHeight="false" outlineLevel="0" collapsed="false">
      <c r="A26" s="14" t="s">
        <v>1110</v>
      </c>
      <c r="B26" s="14" t="s">
        <v>1111</v>
      </c>
      <c r="C26" s="14" t="s">
        <v>1110</v>
      </c>
      <c r="D26" s="14" t="s">
        <v>648</v>
      </c>
      <c r="E26" s="14" t="s">
        <v>742</v>
      </c>
      <c r="F26" s="14" t="s">
        <v>82</v>
      </c>
      <c r="G26" s="14"/>
    </row>
    <row r="27" customFormat="false" ht="15" hidden="false" customHeight="false" outlineLevel="0" collapsed="false">
      <c r="A27" s="14" t="s">
        <v>1112</v>
      </c>
      <c r="B27" s="14" t="s">
        <v>1113</v>
      </c>
      <c r="C27" s="14" t="s">
        <v>1112</v>
      </c>
      <c r="D27" s="14" t="s">
        <v>648</v>
      </c>
      <c r="E27" s="14" t="s">
        <v>744</v>
      </c>
      <c r="F27" s="14" t="s">
        <v>82</v>
      </c>
      <c r="G27" s="14"/>
    </row>
    <row r="28" customFormat="false" ht="15" hidden="false" customHeight="false" outlineLevel="0" collapsed="false">
      <c r="A28" s="14" t="s">
        <v>1114</v>
      </c>
      <c r="B28" s="14" t="s">
        <v>1115</v>
      </c>
      <c r="C28" s="14" t="s">
        <v>1114</v>
      </c>
      <c r="D28" s="14" t="s">
        <v>648</v>
      </c>
      <c r="E28" s="14" t="s">
        <v>744</v>
      </c>
      <c r="F28" s="14" t="s">
        <v>82</v>
      </c>
      <c r="G28" s="14"/>
    </row>
    <row r="29" customFormat="false" ht="15" hidden="false" customHeight="false" outlineLevel="0" collapsed="false">
      <c r="A29" s="14" t="s">
        <v>1116</v>
      </c>
      <c r="B29" s="14" t="s">
        <v>1117</v>
      </c>
      <c r="C29" s="14" t="s">
        <v>1118</v>
      </c>
      <c r="D29" s="14" t="s">
        <v>648</v>
      </c>
      <c r="E29" s="14" t="s">
        <v>744</v>
      </c>
      <c r="F29" s="14" t="s">
        <v>82</v>
      </c>
      <c r="G29" s="14"/>
    </row>
    <row r="30" customFormat="false" ht="15" hidden="false" customHeight="false" outlineLevel="0" collapsed="false">
      <c r="A30" s="14" t="s">
        <v>1119</v>
      </c>
      <c r="B30" s="14" t="s">
        <v>1120</v>
      </c>
      <c r="C30" s="14" t="s">
        <v>1121</v>
      </c>
      <c r="D30" s="14" t="s">
        <v>648</v>
      </c>
      <c r="E30" s="14" t="s">
        <v>744</v>
      </c>
      <c r="F30" s="14" t="s">
        <v>82</v>
      </c>
      <c r="G30" s="14"/>
    </row>
    <row r="31" customFormat="false" ht="15" hidden="false" customHeight="false" outlineLevel="0" collapsed="false">
      <c r="A31" s="14" t="s">
        <v>1122</v>
      </c>
      <c r="B31" s="14" t="s">
        <v>1123</v>
      </c>
      <c r="C31" s="14" t="s">
        <v>1124</v>
      </c>
      <c r="D31" s="14" t="s">
        <v>648</v>
      </c>
      <c r="E31" s="14" t="s">
        <v>744</v>
      </c>
      <c r="F31" s="14" t="s">
        <v>82</v>
      </c>
      <c r="G31" s="14"/>
    </row>
    <row r="32" customFormat="false" ht="15" hidden="false" customHeight="false" outlineLevel="0" collapsed="false">
      <c r="A32" s="14" t="s">
        <v>1125</v>
      </c>
      <c r="B32" s="14" t="s">
        <v>1126</v>
      </c>
      <c r="C32" s="14" t="s">
        <v>1127</v>
      </c>
      <c r="D32" s="14" t="s">
        <v>648</v>
      </c>
      <c r="E32" s="14" t="s">
        <v>744</v>
      </c>
      <c r="F32" s="14" t="s">
        <v>82</v>
      </c>
      <c r="G32" s="14"/>
    </row>
    <row r="33" customFormat="false" ht="15" hidden="false" customHeight="false" outlineLevel="0" collapsed="false">
      <c r="A33" s="14" t="s">
        <v>1128</v>
      </c>
      <c r="B33" s="14" t="s">
        <v>1129</v>
      </c>
      <c r="C33" s="14" t="s">
        <v>1130</v>
      </c>
      <c r="D33" s="14" t="s">
        <v>648</v>
      </c>
      <c r="E33" s="14" t="s">
        <v>744</v>
      </c>
      <c r="F33" s="14" t="s">
        <v>82</v>
      </c>
      <c r="G33" s="14"/>
    </row>
    <row r="34" customFormat="false" ht="15" hidden="false" customHeight="false" outlineLevel="0" collapsed="false">
      <c r="A34" s="14" t="s">
        <v>1131</v>
      </c>
      <c r="B34" s="14" t="s">
        <v>1132</v>
      </c>
      <c r="C34" s="14" t="s">
        <v>1131</v>
      </c>
      <c r="D34" s="14" t="s">
        <v>648</v>
      </c>
      <c r="E34" s="14" t="s">
        <v>744</v>
      </c>
      <c r="F34" s="14" t="s">
        <v>82</v>
      </c>
      <c r="G34" s="14"/>
    </row>
    <row r="35" customFormat="false" ht="15" hidden="false" customHeight="false" outlineLevel="0" collapsed="false">
      <c r="A35" s="14" t="s">
        <v>1133</v>
      </c>
      <c r="B35" s="14" t="s">
        <v>1134</v>
      </c>
      <c r="C35" s="14" t="s">
        <v>1133</v>
      </c>
      <c r="D35" s="14" t="s">
        <v>648</v>
      </c>
      <c r="E35" s="14" t="s">
        <v>744</v>
      </c>
      <c r="F35" s="14" t="s">
        <v>82</v>
      </c>
      <c r="G35" s="14"/>
    </row>
    <row r="36" customFormat="false" ht="15" hidden="false" customHeight="false" outlineLevel="0" collapsed="false">
      <c r="A36" s="14" t="s">
        <v>1135</v>
      </c>
      <c r="B36" s="14" t="s">
        <v>1136</v>
      </c>
      <c r="C36" s="14" t="s">
        <v>1137</v>
      </c>
      <c r="D36" s="14" t="s">
        <v>648</v>
      </c>
      <c r="E36" s="14" t="s">
        <v>744</v>
      </c>
      <c r="F36" s="14" t="s">
        <v>82</v>
      </c>
      <c r="G36" s="14"/>
    </row>
    <row r="37" customFormat="false" ht="15" hidden="false" customHeight="false" outlineLevel="0" collapsed="false">
      <c r="A37" s="14" t="s">
        <v>1138</v>
      </c>
      <c r="B37" s="14" t="s">
        <v>1139</v>
      </c>
      <c r="C37" s="14" t="s">
        <v>1140</v>
      </c>
      <c r="D37" s="14" t="s">
        <v>648</v>
      </c>
      <c r="E37" s="14" t="s">
        <v>746</v>
      </c>
      <c r="F37" s="14" t="s">
        <v>82</v>
      </c>
      <c r="G37" s="14"/>
    </row>
    <row r="38" customFormat="false" ht="15" hidden="false" customHeight="false" outlineLevel="0" collapsed="false">
      <c r="A38" s="14" t="s">
        <v>1141</v>
      </c>
      <c r="B38" s="14" t="s">
        <v>1142</v>
      </c>
      <c r="C38" s="14" t="s">
        <v>1143</v>
      </c>
      <c r="D38" s="14" t="s">
        <v>648</v>
      </c>
      <c r="E38" s="14" t="s">
        <v>746</v>
      </c>
      <c r="F38" s="14" t="s">
        <v>82</v>
      </c>
      <c r="G38" s="14"/>
    </row>
    <row r="39" customFormat="false" ht="15" hidden="false" customHeight="false" outlineLevel="0" collapsed="false">
      <c r="A39" s="14" t="s">
        <v>1144</v>
      </c>
      <c r="B39" s="14" t="s">
        <v>1145</v>
      </c>
      <c r="C39" s="14" t="s">
        <v>1146</v>
      </c>
      <c r="D39" s="14" t="s">
        <v>648</v>
      </c>
      <c r="E39" s="14" t="s">
        <v>746</v>
      </c>
      <c r="F39" s="14" t="s">
        <v>82</v>
      </c>
      <c r="G39" s="14"/>
    </row>
    <row r="40" customFormat="false" ht="15" hidden="false" customHeight="false" outlineLevel="0" collapsed="false">
      <c r="A40" s="14" t="s">
        <v>1147</v>
      </c>
      <c r="B40" s="14" t="s">
        <v>1148</v>
      </c>
      <c r="C40" s="14" t="s">
        <v>1148</v>
      </c>
      <c r="D40" s="14" t="s">
        <v>649</v>
      </c>
      <c r="E40" s="14" t="s">
        <v>740</v>
      </c>
      <c r="F40" s="14" t="s">
        <v>82</v>
      </c>
      <c r="G40" s="14"/>
    </row>
    <row r="41" customFormat="false" ht="15" hidden="false" customHeight="false" outlineLevel="0" collapsed="false">
      <c r="A41" s="14" t="s">
        <v>1149</v>
      </c>
      <c r="B41" s="14" t="s">
        <v>1150</v>
      </c>
      <c r="C41" s="14" t="s">
        <v>1150</v>
      </c>
      <c r="D41" s="14" t="s">
        <v>649</v>
      </c>
      <c r="E41" s="14" t="s">
        <v>740</v>
      </c>
      <c r="F41" s="14" t="s">
        <v>82</v>
      </c>
      <c r="G41" s="14"/>
    </row>
    <row r="42" customFormat="false" ht="15" hidden="false" customHeight="false" outlineLevel="0" collapsed="false">
      <c r="A42" s="14" t="s">
        <v>1151</v>
      </c>
      <c r="B42" s="14" t="s">
        <v>1152</v>
      </c>
      <c r="C42" s="14" t="s">
        <v>1153</v>
      </c>
      <c r="D42" s="14" t="s">
        <v>649</v>
      </c>
      <c r="E42" s="14" t="s">
        <v>740</v>
      </c>
      <c r="F42" s="14" t="s">
        <v>82</v>
      </c>
      <c r="G42" s="14"/>
    </row>
    <row r="43" customFormat="false" ht="15" hidden="false" customHeight="false" outlineLevel="0" collapsed="false">
      <c r="A43" s="14" t="s">
        <v>1154</v>
      </c>
      <c r="B43" s="14" t="s">
        <v>1155</v>
      </c>
      <c r="C43" s="14" t="s">
        <v>1156</v>
      </c>
      <c r="D43" s="14" t="s">
        <v>649</v>
      </c>
      <c r="E43" s="14" t="s">
        <v>740</v>
      </c>
      <c r="F43" s="14" t="s">
        <v>82</v>
      </c>
      <c r="G43" s="14"/>
    </row>
    <row r="44" customFormat="false" ht="15" hidden="false" customHeight="false" outlineLevel="0" collapsed="false">
      <c r="A44" s="14" t="s">
        <v>1157</v>
      </c>
      <c r="B44" s="14" t="s">
        <v>1158</v>
      </c>
      <c r="C44" s="14" t="s">
        <v>1158</v>
      </c>
      <c r="D44" s="14" t="s">
        <v>649</v>
      </c>
      <c r="E44" s="14" t="s">
        <v>740</v>
      </c>
      <c r="F44" s="14" t="s">
        <v>82</v>
      </c>
      <c r="G44" s="14"/>
    </row>
    <row r="45" customFormat="false" ht="15" hidden="false" customHeight="false" outlineLevel="0" collapsed="false">
      <c r="A45" s="14" t="s">
        <v>1159</v>
      </c>
      <c r="B45" s="14" t="s">
        <v>1160</v>
      </c>
      <c r="C45" s="14" t="s">
        <v>1161</v>
      </c>
      <c r="D45" s="14" t="s">
        <v>649</v>
      </c>
      <c r="E45" s="14" t="s">
        <v>740</v>
      </c>
      <c r="F45" s="14" t="s">
        <v>82</v>
      </c>
      <c r="G45" s="14"/>
    </row>
    <row r="46" customFormat="false" ht="15" hidden="false" customHeight="false" outlineLevel="0" collapsed="false">
      <c r="A46" s="14" t="s">
        <v>1162</v>
      </c>
      <c r="B46" s="14" t="s">
        <v>1163</v>
      </c>
      <c r="C46" s="14" t="s">
        <v>1164</v>
      </c>
      <c r="D46" s="14" t="s">
        <v>649</v>
      </c>
      <c r="E46" s="14" t="s">
        <v>740</v>
      </c>
      <c r="F46" s="14" t="s">
        <v>82</v>
      </c>
      <c r="G46" s="14"/>
    </row>
    <row r="47" customFormat="false" ht="15" hidden="false" customHeight="false" outlineLevel="0" collapsed="false">
      <c r="A47" s="14" t="s">
        <v>1165</v>
      </c>
      <c r="B47" s="14" t="s">
        <v>1166</v>
      </c>
      <c r="C47" s="14" t="s">
        <v>1166</v>
      </c>
      <c r="D47" s="14" t="s">
        <v>649</v>
      </c>
      <c r="E47" s="14" t="s">
        <v>740</v>
      </c>
      <c r="F47" s="14" t="s">
        <v>82</v>
      </c>
      <c r="G47" s="14"/>
    </row>
    <row r="48" customFormat="false" ht="15" hidden="false" customHeight="false" outlineLevel="0" collapsed="false">
      <c r="A48" s="14" t="s">
        <v>1167</v>
      </c>
      <c r="B48" s="14" t="s">
        <v>1168</v>
      </c>
      <c r="C48" s="14" t="s">
        <v>1168</v>
      </c>
      <c r="D48" s="14" t="s">
        <v>649</v>
      </c>
      <c r="E48" s="14" t="s">
        <v>740</v>
      </c>
      <c r="F48" s="14" t="s">
        <v>82</v>
      </c>
      <c r="G48" s="14"/>
    </row>
    <row r="49" customFormat="false" ht="15" hidden="false" customHeight="false" outlineLevel="0" collapsed="false">
      <c r="A49" s="14" t="s">
        <v>1169</v>
      </c>
      <c r="B49" s="14" t="s">
        <v>1170</v>
      </c>
      <c r="C49" s="14" t="s">
        <v>1170</v>
      </c>
      <c r="D49" s="14" t="s">
        <v>649</v>
      </c>
      <c r="E49" s="14" t="s">
        <v>740</v>
      </c>
      <c r="F49" s="14" t="s">
        <v>82</v>
      </c>
      <c r="G49" s="14"/>
    </row>
    <row r="50" customFormat="false" ht="15" hidden="false" customHeight="false" outlineLevel="0" collapsed="false">
      <c r="A50" s="14" t="s">
        <v>1171</v>
      </c>
      <c r="B50" s="14" t="s">
        <v>1171</v>
      </c>
      <c r="C50" s="14" t="s">
        <v>1171</v>
      </c>
      <c r="D50" s="14" t="s">
        <v>649</v>
      </c>
      <c r="E50" s="14" t="s">
        <v>740</v>
      </c>
      <c r="F50" s="14" t="s">
        <v>82</v>
      </c>
      <c r="G50" s="14"/>
    </row>
    <row r="51" customFormat="false" ht="15" hidden="false" customHeight="false" outlineLevel="0" collapsed="false">
      <c r="A51" s="14" t="s">
        <v>1172</v>
      </c>
      <c r="B51" s="14" t="s">
        <v>1173</v>
      </c>
      <c r="C51" s="14" t="s">
        <v>1173</v>
      </c>
      <c r="D51" s="14" t="s">
        <v>649</v>
      </c>
      <c r="E51" s="14" t="s">
        <v>740</v>
      </c>
      <c r="F51" s="14" t="s">
        <v>82</v>
      </c>
      <c r="G51" s="14"/>
    </row>
    <row r="52" customFormat="false" ht="15" hidden="false" customHeight="false" outlineLevel="0" collapsed="false">
      <c r="A52" s="14" t="s">
        <v>1174</v>
      </c>
      <c r="B52" s="14" t="s">
        <v>1175</v>
      </c>
      <c r="C52" s="14" t="s">
        <v>1175</v>
      </c>
      <c r="D52" s="14" t="s">
        <v>649</v>
      </c>
      <c r="E52" s="14" t="s">
        <v>740</v>
      </c>
      <c r="F52" s="14" t="s">
        <v>82</v>
      </c>
      <c r="G52" s="14"/>
    </row>
    <row r="53" customFormat="false" ht="15" hidden="false" customHeight="false" outlineLevel="0" collapsed="false">
      <c r="A53" s="14" t="s">
        <v>1176</v>
      </c>
      <c r="B53" s="14" t="s">
        <v>1177</v>
      </c>
      <c r="C53" s="14" t="s">
        <v>1177</v>
      </c>
      <c r="D53" s="14" t="s">
        <v>649</v>
      </c>
      <c r="E53" s="14" t="s">
        <v>742</v>
      </c>
      <c r="F53" s="14" t="s">
        <v>82</v>
      </c>
      <c r="G53" s="14"/>
    </row>
    <row r="54" customFormat="false" ht="15" hidden="false" customHeight="false" outlineLevel="0" collapsed="false">
      <c r="A54" s="14" t="s">
        <v>1178</v>
      </c>
      <c r="B54" s="14" t="s">
        <v>1179</v>
      </c>
      <c r="C54" s="14" t="s">
        <v>1179</v>
      </c>
      <c r="D54" s="14" t="s">
        <v>649</v>
      </c>
      <c r="E54" s="14" t="s">
        <v>744</v>
      </c>
      <c r="F54" s="14" t="s">
        <v>82</v>
      </c>
      <c r="G54" s="14"/>
    </row>
    <row r="55" customFormat="false" ht="15" hidden="false" customHeight="false" outlineLevel="0" collapsed="false">
      <c r="A55" s="14" t="s">
        <v>1180</v>
      </c>
      <c r="B55" s="14" t="s">
        <v>1181</v>
      </c>
      <c r="C55" s="14" t="s">
        <v>1181</v>
      </c>
      <c r="D55" s="14" t="s">
        <v>649</v>
      </c>
      <c r="E55" s="14" t="s">
        <v>746</v>
      </c>
      <c r="F55" s="14" t="s">
        <v>82</v>
      </c>
      <c r="G55" s="14"/>
    </row>
    <row r="56" customFormat="false" ht="15" hidden="false" customHeight="false" outlineLevel="0" collapsed="false">
      <c r="A56" s="14" t="s">
        <v>1182</v>
      </c>
      <c r="B56" s="14" t="s">
        <v>1183</v>
      </c>
      <c r="C56" s="14" t="s">
        <v>1184</v>
      </c>
      <c r="D56" s="14" t="s">
        <v>649</v>
      </c>
      <c r="E56" s="14" t="s">
        <v>748</v>
      </c>
      <c r="F56" s="14" t="s">
        <v>82</v>
      </c>
      <c r="G56" s="14"/>
    </row>
    <row r="57" customFormat="false" ht="15" hidden="false" customHeight="false" outlineLevel="0" collapsed="false">
      <c r="A57" s="14" t="s">
        <v>1185</v>
      </c>
      <c r="B57" s="14" t="s">
        <v>1186</v>
      </c>
      <c r="C57" s="14" t="s">
        <v>1187</v>
      </c>
      <c r="D57" s="14" t="s">
        <v>649</v>
      </c>
      <c r="E57" s="14" t="s">
        <v>748</v>
      </c>
      <c r="F57" s="14" t="s">
        <v>82</v>
      </c>
      <c r="G57" s="14"/>
    </row>
    <row r="58" customFormat="false" ht="15" hidden="false" customHeight="false" outlineLevel="0" collapsed="false">
      <c r="A58" s="14" t="s">
        <v>1188</v>
      </c>
      <c r="B58" s="14" t="s">
        <v>1189</v>
      </c>
      <c r="C58" s="14" t="s">
        <v>1189</v>
      </c>
      <c r="D58" s="14" t="s">
        <v>649</v>
      </c>
      <c r="E58" s="14" t="s">
        <v>748</v>
      </c>
      <c r="F58" s="14" t="s">
        <v>82</v>
      </c>
      <c r="G58" s="14"/>
    </row>
    <row r="59" customFormat="false" ht="15" hidden="false" customHeight="false" outlineLevel="0" collapsed="false">
      <c r="A59" s="14" t="s">
        <v>1190</v>
      </c>
      <c r="B59" s="14" t="s">
        <v>1191</v>
      </c>
      <c r="C59" s="14" t="s">
        <v>1191</v>
      </c>
      <c r="D59" s="14" t="s">
        <v>649</v>
      </c>
      <c r="E59" s="14" t="s">
        <v>748</v>
      </c>
      <c r="F59" s="14" t="s">
        <v>82</v>
      </c>
      <c r="G59" s="14"/>
    </row>
    <row r="60" customFormat="false" ht="15" hidden="false" customHeight="false" outlineLevel="0" collapsed="false">
      <c r="A60" s="14" t="s">
        <v>1192</v>
      </c>
      <c r="B60" s="14" t="s">
        <v>1193</v>
      </c>
      <c r="C60" s="14" t="s">
        <v>1193</v>
      </c>
      <c r="D60" s="14" t="s">
        <v>649</v>
      </c>
      <c r="E60" s="14" t="s">
        <v>748</v>
      </c>
      <c r="F60" s="14" t="s">
        <v>82</v>
      </c>
      <c r="G60"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7"/>
    <col collapsed="false" customWidth="true" hidden="false" outlineLevel="0" max="3" min="3" style="0" width="13"/>
  </cols>
  <sheetData>
    <row r="1" customFormat="false" ht="15" hidden="false" customHeight="false" outlineLevel="0" collapsed="false">
      <c r="A1" s="13" t="s">
        <v>169</v>
      </c>
      <c r="B1" s="13" t="s">
        <v>172</v>
      </c>
      <c r="C1" s="13" t="s">
        <v>147</v>
      </c>
    </row>
    <row r="2" customFormat="false" ht="15" hidden="false" customHeight="false" outlineLevel="0" collapsed="false">
      <c r="A2" s="14" t="s">
        <v>1194</v>
      </c>
      <c r="B2" s="14" t="s">
        <v>1195</v>
      </c>
      <c r="C2" s="14" t="s">
        <v>1049</v>
      </c>
    </row>
    <row r="3" customFormat="false" ht="15" hidden="false" customHeight="false" outlineLevel="0" collapsed="false">
      <c r="A3" s="14" t="s">
        <v>1196</v>
      </c>
      <c r="B3" s="14" t="s">
        <v>1197</v>
      </c>
      <c r="C3" s="14" t="s">
        <v>1049</v>
      </c>
    </row>
    <row r="4" customFormat="false" ht="15" hidden="false" customHeight="false" outlineLevel="0" collapsed="false">
      <c r="A4" s="14" t="s">
        <v>1198</v>
      </c>
      <c r="B4" s="14" t="s">
        <v>1199</v>
      </c>
      <c r="C4" s="14" t="s">
        <v>1052</v>
      </c>
    </row>
    <row r="5" customFormat="false" ht="15" hidden="false" customHeight="false" outlineLevel="0" collapsed="false">
      <c r="A5" s="14" t="s">
        <v>1200</v>
      </c>
      <c r="B5" s="14" t="s">
        <v>1201</v>
      </c>
      <c r="C5" s="14" t="s">
        <v>1052</v>
      </c>
    </row>
    <row r="6" customFormat="false" ht="15" hidden="false" customHeight="false" outlineLevel="0" collapsed="false">
      <c r="A6" s="14" t="s">
        <v>1202</v>
      </c>
      <c r="B6" s="14" t="s">
        <v>1203</v>
      </c>
      <c r="C6" s="14" t="s">
        <v>1055</v>
      </c>
    </row>
    <row r="7" customFormat="false" ht="15" hidden="false" customHeight="false" outlineLevel="0" collapsed="false">
      <c r="A7" s="14" t="s">
        <v>1204</v>
      </c>
      <c r="B7" s="14" t="s">
        <v>1205</v>
      </c>
      <c r="C7" s="14" t="s">
        <v>1060</v>
      </c>
    </row>
    <row r="8" customFormat="false" ht="15" hidden="false" customHeight="false" outlineLevel="0" collapsed="false">
      <c r="A8" s="14" t="s">
        <v>1206</v>
      </c>
      <c r="B8" s="14" t="s">
        <v>1199</v>
      </c>
      <c r="C8" s="14" t="s">
        <v>1060</v>
      </c>
    </row>
    <row r="9" customFormat="false" ht="15" hidden="false" customHeight="false" outlineLevel="0" collapsed="false">
      <c r="A9" s="14" t="s">
        <v>1207</v>
      </c>
      <c r="B9" s="14" t="s">
        <v>1208</v>
      </c>
      <c r="C9" s="14" t="s">
        <v>1060</v>
      </c>
    </row>
    <row r="10" customFormat="false" ht="15" hidden="false" customHeight="false" outlineLevel="0" collapsed="false">
      <c r="A10" s="14" t="s">
        <v>1209</v>
      </c>
      <c r="B10" s="14" t="s">
        <v>1210</v>
      </c>
      <c r="C10" s="14" t="s">
        <v>1062</v>
      </c>
    </row>
    <row r="11" customFormat="false" ht="15" hidden="false" customHeight="false" outlineLevel="0" collapsed="false">
      <c r="A11" s="14" t="s">
        <v>1211</v>
      </c>
      <c r="B11" s="14" t="s">
        <v>1212</v>
      </c>
      <c r="C11" s="14" t="s">
        <v>1065</v>
      </c>
    </row>
    <row r="12" customFormat="false" ht="15" hidden="false" customHeight="false" outlineLevel="0" collapsed="false">
      <c r="A12" s="14" t="s">
        <v>1213</v>
      </c>
      <c r="B12" s="14" t="s">
        <v>1214</v>
      </c>
      <c r="C12" s="14" t="s">
        <v>1065</v>
      </c>
    </row>
    <row r="13" customFormat="false" ht="15" hidden="false" customHeight="false" outlineLevel="0" collapsed="false">
      <c r="A13" s="14" t="s">
        <v>1215</v>
      </c>
      <c r="B13" s="14" t="s">
        <v>1216</v>
      </c>
      <c r="C13" s="14" t="s">
        <v>1071</v>
      </c>
    </row>
    <row r="14" customFormat="false" ht="15" hidden="false" customHeight="false" outlineLevel="0" collapsed="false">
      <c r="A14" s="14" t="s">
        <v>1217</v>
      </c>
      <c r="B14" s="14" t="s">
        <v>1218</v>
      </c>
      <c r="C14" s="14" t="s">
        <v>1073</v>
      </c>
    </row>
    <row r="15" customFormat="false" ht="15" hidden="false" customHeight="false" outlineLevel="0" collapsed="false">
      <c r="A15" s="14" t="s">
        <v>1219</v>
      </c>
      <c r="B15" s="14" t="s">
        <v>1220</v>
      </c>
      <c r="C15" s="14" t="s">
        <v>1076</v>
      </c>
    </row>
    <row r="16" customFormat="false" ht="15" hidden="false" customHeight="false" outlineLevel="0" collapsed="false">
      <c r="A16" s="14" t="s">
        <v>1221</v>
      </c>
      <c r="B16" s="14" t="s">
        <v>1222</v>
      </c>
      <c r="C16" s="14" t="s">
        <v>1076</v>
      </c>
    </row>
    <row r="17" customFormat="false" ht="15" hidden="false" customHeight="false" outlineLevel="0" collapsed="false">
      <c r="A17" s="14" t="s">
        <v>1223</v>
      </c>
      <c r="B17" s="14" t="s">
        <v>1224</v>
      </c>
      <c r="C17" s="14" t="s">
        <v>1078</v>
      </c>
    </row>
    <row r="18" customFormat="false" ht="15" hidden="false" customHeight="false" outlineLevel="0" collapsed="false">
      <c r="A18" s="14" t="s">
        <v>1225</v>
      </c>
      <c r="B18" s="14" t="s">
        <v>1226</v>
      </c>
      <c r="C18" s="14" t="s">
        <v>1081</v>
      </c>
    </row>
    <row r="19" customFormat="false" ht="15" hidden="false" customHeight="false" outlineLevel="0" collapsed="false">
      <c r="A19" s="14" t="s">
        <v>1227</v>
      </c>
      <c r="B19" s="14" t="s">
        <v>1228</v>
      </c>
      <c r="C19" s="14" t="s">
        <v>1084</v>
      </c>
    </row>
    <row r="20" customFormat="false" ht="15" hidden="false" customHeight="false" outlineLevel="0" collapsed="false">
      <c r="A20" s="14" t="s">
        <v>1229</v>
      </c>
      <c r="B20" s="14" t="s">
        <v>1230</v>
      </c>
      <c r="C20" s="14" t="s">
        <v>1086</v>
      </c>
    </row>
    <row r="21" customFormat="false" ht="15" hidden="false" customHeight="false" outlineLevel="0" collapsed="false">
      <c r="A21" s="14" t="s">
        <v>1231</v>
      </c>
      <c r="B21" s="14" t="s">
        <v>1232</v>
      </c>
      <c r="C21" s="14" t="s">
        <v>1086</v>
      </c>
    </row>
    <row r="22" customFormat="false" ht="15" hidden="false" customHeight="false" outlineLevel="0" collapsed="false">
      <c r="A22" s="14" t="s">
        <v>1233</v>
      </c>
      <c r="B22" s="14" t="s">
        <v>1234</v>
      </c>
      <c r="C22" s="14" t="s">
        <v>1088</v>
      </c>
    </row>
    <row r="23" customFormat="false" ht="15" hidden="false" customHeight="false" outlineLevel="0" collapsed="false">
      <c r="A23" s="14" t="s">
        <v>1235</v>
      </c>
      <c r="B23" s="14" t="s">
        <v>1236</v>
      </c>
      <c r="C23" s="14" t="s">
        <v>1090</v>
      </c>
    </row>
    <row r="24" customFormat="false" ht="15" hidden="false" customHeight="false" outlineLevel="0" collapsed="false">
      <c r="A24" s="14" t="s">
        <v>1237</v>
      </c>
      <c r="B24" s="14" t="s">
        <v>1238</v>
      </c>
      <c r="C24" s="14" t="s">
        <v>1093</v>
      </c>
    </row>
    <row r="25" customFormat="false" ht="15" hidden="false" customHeight="false" outlineLevel="0" collapsed="false">
      <c r="A25" s="14" t="s">
        <v>1239</v>
      </c>
      <c r="B25" s="14" t="s">
        <v>1240</v>
      </c>
      <c r="C25" s="14" t="s">
        <v>1093</v>
      </c>
    </row>
    <row r="26" customFormat="false" ht="15" hidden="false" customHeight="false" outlineLevel="0" collapsed="false">
      <c r="A26" s="14" t="s">
        <v>1241</v>
      </c>
      <c r="B26" s="14" t="s">
        <v>1242</v>
      </c>
      <c r="C26" s="14" t="s">
        <v>1093</v>
      </c>
    </row>
    <row r="27" customFormat="false" ht="15" hidden="false" customHeight="false" outlineLevel="0" collapsed="false">
      <c r="A27" s="14" t="s">
        <v>1243</v>
      </c>
      <c r="B27" s="14" t="s">
        <v>1244</v>
      </c>
      <c r="C27" s="14" t="s">
        <v>1093</v>
      </c>
    </row>
    <row r="28" customFormat="false" ht="15" hidden="false" customHeight="false" outlineLevel="0" collapsed="false">
      <c r="A28" s="14" t="s">
        <v>1245</v>
      </c>
      <c r="B28" s="14" t="s">
        <v>1246</v>
      </c>
      <c r="C28" s="14" t="s">
        <v>1093</v>
      </c>
    </row>
    <row r="29" customFormat="false" ht="15" hidden="false" customHeight="false" outlineLevel="0" collapsed="false">
      <c r="A29" s="14" t="s">
        <v>1247</v>
      </c>
      <c r="B29" s="14" t="s">
        <v>1248</v>
      </c>
      <c r="C29" s="14" t="s">
        <v>1093</v>
      </c>
    </row>
    <row r="30" customFormat="false" ht="15" hidden="false" customHeight="false" outlineLevel="0" collapsed="false">
      <c r="A30" s="14" t="s">
        <v>1249</v>
      </c>
      <c r="B30" s="14" t="s">
        <v>1250</v>
      </c>
      <c r="C30" s="14" t="s">
        <v>1095</v>
      </c>
    </row>
    <row r="31" customFormat="false" ht="15" hidden="false" customHeight="false" outlineLevel="0" collapsed="false">
      <c r="A31" s="14" t="s">
        <v>1251</v>
      </c>
      <c r="B31" s="14" t="s">
        <v>1252</v>
      </c>
      <c r="C31" s="14" t="s">
        <v>1095</v>
      </c>
    </row>
    <row r="32" customFormat="false" ht="15" hidden="false" customHeight="false" outlineLevel="0" collapsed="false">
      <c r="A32" s="14" t="s">
        <v>1253</v>
      </c>
      <c r="B32" s="14" t="s">
        <v>1254</v>
      </c>
      <c r="C32" s="14" t="s">
        <v>1095</v>
      </c>
    </row>
    <row r="33" customFormat="false" ht="15" hidden="false" customHeight="false" outlineLevel="0" collapsed="false">
      <c r="A33" s="14" t="s">
        <v>1255</v>
      </c>
      <c r="B33" s="14" t="s">
        <v>1256</v>
      </c>
      <c r="C33" s="14" t="s">
        <v>1098</v>
      </c>
    </row>
    <row r="34" customFormat="false" ht="15" hidden="false" customHeight="false" outlineLevel="0" collapsed="false">
      <c r="A34" s="14" t="s">
        <v>1257</v>
      </c>
      <c r="B34" s="14" t="s">
        <v>1258</v>
      </c>
      <c r="C34" s="14" t="s">
        <v>1098</v>
      </c>
    </row>
    <row r="35" customFormat="false" ht="15" hidden="false" customHeight="false" outlineLevel="0" collapsed="false">
      <c r="A35" s="14" t="s">
        <v>1259</v>
      </c>
      <c r="B35" s="14" t="s">
        <v>1260</v>
      </c>
      <c r="C35" s="14" t="s">
        <v>1101</v>
      </c>
    </row>
    <row r="36" customFormat="false" ht="15" hidden="false" customHeight="false" outlineLevel="0" collapsed="false">
      <c r="A36" s="14" t="s">
        <v>1261</v>
      </c>
      <c r="B36" s="14" t="s">
        <v>1262</v>
      </c>
      <c r="C36" s="14" t="s">
        <v>1103</v>
      </c>
    </row>
    <row r="37" customFormat="false" ht="15" hidden="false" customHeight="false" outlineLevel="0" collapsed="false">
      <c r="A37" s="14" t="s">
        <v>1263</v>
      </c>
      <c r="B37" s="14" t="s">
        <v>1264</v>
      </c>
      <c r="C37" s="14" t="s">
        <v>1103</v>
      </c>
    </row>
    <row r="38" customFormat="false" ht="15" hidden="false" customHeight="false" outlineLevel="0" collapsed="false">
      <c r="A38" s="14" t="s">
        <v>1265</v>
      </c>
      <c r="B38" s="14" t="s">
        <v>1266</v>
      </c>
      <c r="C38" s="14" t="s">
        <v>1106</v>
      </c>
    </row>
    <row r="39" customFormat="false" ht="15" hidden="false" customHeight="false" outlineLevel="0" collapsed="false">
      <c r="A39" s="14" t="s">
        <v>1267</v>
      </c>
      <c r="B39" s="14" t="s">
        <v>1268</v>
      </c>
      <c r="C39" s="14" t="s">
        <v>1106</v>
      </c>
    </row>
    <row r="40" customFormat="false" ht="15" hidden="false" customHeight="false" outlineLevel="0" collapsed="false">
      <c r="A40" s="14" t="s">
        <v>1269</v>
      </c>
      <c r="B40" s="14" t="s">
        <v>1270</v>
      </c>
      <c r="C40" s="14" t="s">
        <v>1106</v>
      </c>
    </row>
    <row r="41" customFormat="false" ht="15" hidden="false" customHeight="false" outlineLevel="0" collapsed="false">
      <c r="A41" s="14" t="s">
        <v>1271</v>
      </c>
      <c r="B41" s="14" t="s">
        <v>1272</v>
      </c>
      <c r="C41" s="14" t="s">
        <v>1106</v>
      </c>
    </row>
    <row r="42" customFormat="false" ht="15" hidden="false" customHeight="false" outlineLevel="0" collapsed="false">
      <c r="A42" s="14" t="s">
        <v>1273</v>
      </c>
      <c r="B42" s="14" t="s">
        <v>1274</v>
      </c>
      <c r="C42" s="14" t="s">
        <v>1108</v>
      </c>
    </row>
    <row r="43" customFormat="false" ht="15" hidden="false" customHeight="false" outlineLevel="0" collapsed="false">
      <c r="A43" s="14" t="s">
        <v>1275</v>
      </c>
      <c r="B43" s="14" t="s">
        <v>1276</v>
      </c>
      <c r="C43" s="14" t="s">
        <v>1108</v>
      </c>
    </row>
    <row r="44" customFormat="false" ht="15" hidden="false" customHeight="false" outlineLevel="0" collapsed="false">
      <c r="A44" s="14" t="s">
        <v>1277</v>
      </c>
      <c r="B44" s="14" t="s">
        <v>1278</v>
      </c>
      <c r="C44" s="14" t="s">
        <v>1110</v>
      </c>
    </row>
    <row r="45" customFormat="false" ht="15" hidden="false" customHeight="false" outlineLevel="0" collapsed="false">
      <c r="A45" s="14" t="s">
        <v>1279</v>
      </c>
      <c r="B45" s="14" t="s">
        <v>1280</v>
      </c>
      <c r="C45" s="14" t="s">
        <v>1112</v>
      </c>
    </row>
    <row r="46" customFormat="false" ht="15" hidden="false" customHeight="false" outlineLevel="0" collapsed="false">
      <c r="A46" s="14" t="s">
        <v>1281</v>
      </c>
      <c r="B46" s="14" t="s">
        <v>1282</v>
      </c>
      <c r="C46" s="14" t="s">
        <v>1112</v>
      </c>
    </row>
    <row r="47" customFormat="false" ht="15" hidden="false" customHeight="false" outlineLevel="0" collapsed="false">
      <c r="A47" s="14" t="s">
        <v>1283</v>
      </c>
      <c r="B47" s="14" t="s">
        <v>1284</v>
      </c>
      <c r="C47" s="14" t="s">
        <v>1112</v>
      </c>
    </row>
    <row r="48" customFormat="false" ht="15" hidden="false" customHeight="false" outlineLevel="0" collapsed="false">
      <c r="A48" s="14" t="s">
        <v>1285</v>
      </c>
      <c r="B48" s="14" t="s">
        <v>1286</v>
      </c>
      <c r="C48" s="14" t="s">
        <v>1114</v>
      </c>
    </row>
    <row r="49" customFormat="false" ht="15" hidden="false" customHeight="false" outlineLevel="0" collapsed="false">
      <c r="A49" s="14" t="s">
        <v>1287</v>
      </c>
      <c r="B49" s="14" t="s">
        <v>1288</v>
      </c>
      <c r="C49" s="14" t="s">
        <v>1114</v>
      </c>
    </row>
    <row r="50" customFormat="false" ht="15" hidden="false" customHeight="false" outlineLevel="0" collapsed="false">
      <c r="A50" s="14" t="s">
        <v>1289</v>
      </c>
      <c r="B50" s="14" t="s">
        <v>1290</v>
      </c>
      <c r="C50" s="14" t="s">
        <v>1116</v>
      </c>
    </row>
    <row r="51" customFormat="false" ht="15" hidden="false" customHeight="false" outlineLevel="0" collapsed="false">
      <c r="A51" s="14" t="s">
        <v>1291</v>
      </c>
      <c r="B51" s="14" t="s">
        <v>1292</v>
      </c>
      <c r="C51" s="14" t="s">
        <v>1116</v>
      </c>
    </row>
    <row r="52" customFormat="false" ht="15" hidden="false" customHeight="false" outlineLevel="0" collapsed="false">
      <c r="A52" s="14" t="s">
        <v>1293</v>
      </c>
      <c r="B52" s="14" t="s">
        <v>1294</v>
      </c>
      <c r="C52" s="14" t="s">
        <v>1116</v>
      </c>
    </row>
    <row r="53" customFormat="false" ht="15" hidden="false" customHeight="false" outlineLevel="0" collapsed="false">
      <c r="A53" s="14" t="s">
        <v>1295</v>
      </c>
      <c r="B53" s="14" t="s">
        <v>1296</v>
      </c>
      <c r="C53" s="14" t="s">
        <v>1116</v>
      </c>
    </row>
    <row r="54" customFormat="false" ht="15" hidden="false" customHeight="false" outlineLevel="0" collapsed="false">
      <c r="A54" s="14" t="s">
        <v>1297</v>
      </c>
      <c r="B54" s="14" t="s">
        <v>1298</v>
      </c>
      <c r="C54" s="14" t="s">
        <v>1116</v>
      </c>
    </row>
    <row r="55" customFormat="false" ht="15" hidden="false" customHeight="false" outlineLevel="0" collapsed="false">
      <c r="A55" s="14" t="s">
        <v>1299</v>
      </c>
      <c r="B55" s="14" t="s">
        <v>1300</v>
      </c>
      <c r="C55" s="14" t="s">
        <v>1119</v>
      </c>
    </row>
    <row r="56" customFormat="false" ht="15" hidden="false" customHeight="false" outlineLevel="0" collapsed="false">
      <c r="A56" s="14" t="s">
        <v>1301</v>
      </c>
      <c r="B56" s="14" t="s">
        <v>1302</v>
      </c>
      <c r="C56" s="14" t="s">
        <v>1122</v>
      </c>
    </row>
    <row r="57" customFormat="false" ht="15" hidden="false" customHeight="false" outlineLevel="0" collapsed="false">
      <c r="A57" s="14" t="s">
        <v>1303</v>
      </c>
      <c r="B57" s="14" t="s">
        <v>1304</v>
      </c>
      <c r="C57" s="14" t="s">
        <v>1125</v>
      </c>
    </row>
    <row r="58" customFormat="false" ht="15" hidden="false" customHeight="false" outlineLevel="0" collapsed="false">
      <c r="A58" s="14" t="s">
        <v>1305</v>
      </c>
      <c r="B58" s="14" t="s">
        <v>1306</v>
      </c>
      <c r="C58" s="14" t="s">
        <v>1125</v>
      </c>
    </row>
    <row r="59" customFormat="false" ht="15" hidden="false" customHeight="false" outlineLevel="0" collapsed="false">
      <c r="A59" s="14" t="s">
        <v>1307</v>
      </c>
      <c r="B59" s="14" t="s">
        <v>1308</v>
      </c>
      <c r="C59" s="14" t="s">
        <v>1128</v>
      </c>
    </row>
    <row r="60" customFormat="false" ht="15" hidden="false" customHeight="false" outlineLevel="0" collapsed="false">
      <c r="A60" s="14" t="s">
        <v>1309</v>
      </c>
      <c r="B60" s="14" t="s">
        <v>1310</v>
      </c>
      <c r="C60" s="14" t="s">
        <v>1128</v>
      </c>
    </row>
    <row r="61" customFormat="false" ht="15" hidden="false" customHeight="false" outlineLevel="0" collapsed="false">
      <c r="A61" s="14" t="s">
        <v>1311</v>
      </c>
      <c r="B61" s="14" t="s">
        <v>1312</v>
      </c>
      <c r="C61" s="14" t="s">
        <v>1128</v>
      </c>
    </row>
    <row r="62" customFormat="false" ht="15" hidden="false" customHeight="false" outlineLevel="0" collapsed="false">
      <c r="A62" s="14" t="s">
        <v>1313</v>
      </c>
      <c r="B62" s="14" t="s">
        <v>1314</v>
      </c>
      <c r="C62" s="14" t="s">
        <v>1131</v>
      </c>
    </row>
    <row r="63" customFormat="false" ht="15" hidden="false" customHeight="false" outlineLevel="0" collapsed="false">
      <c r="A63" s="14" t="s">
        <v>1315</v>
      </c>
      <c r="B63" s="14" t="s">
        <v>1316</v>
      </c>
      <c r="C63" s="14" t="s">
        <v>1131</v>
      </c>
    </row>
    <row r="64" customFormat="false" ht="15" hidden="false" customHeight="false" outlineLevel="0" collapsed="false">
      <c r="A64" s="14" t="s">
        <v>1317</v>
      </c>
      <c r="B64" s="14" t="s">
        <v>1318</v>
      </c>
      <c r="C64" s="14" t="s">
        <v>1133</v>
      </c>
    </row>
    <row r="65" customFormat="false" ht="15" hidden="false" customHeight="false" outlineLevel="0" collapsed="false">
      <c r="A65" s="14" t="s">
        <v>1319</v>
      </c>
      <c r="B65" s="14" t="s">
        <v>1320</v>
      </c>
      <c r="C65" s="14" t="s">
        <v>1133</v>
      </c>
    </row>
    <row r="66" customFormat="false" ht="15" hidden="false" customHeight="false" outlineLevel="0" collapsed="false">
      <c r="A66" s="14" t="s">
        <v>1321</v>
      </c>
      <c r="B66" s="14" t="s">
        <v>1322</v>
      </c>
      <c r="C66" s="14" t="s">
        <v>1133</v>
      </c>
    </row>
    <row r="67" customFormat="false" ht="15" hidden="false" customHeight="false" outlineLevel="0" collapsed="false">
      <c r="A67" s="14" t="s">
        <v>1323</v>
      </c>
      <c r="B67" s="14" t="s">
        <v>1324</v>
      </c>
      <c r="C67" s="14" t="s">
        <v>1135</v>
      </c>
    </row>
    <row r="68" customFormat="false" ht="15" hidden="false" customHeight="false" outlineLevel="0" collapsed="false">
      <c r="A68" s="14" t="s">
        <v>1325</v>
      </c>
      <c r="B68" s="14" t="s">
        <v>1326</v>
      </c>
      <c r="C68" s="14" t="s">
        <v>1138</v>
      </c>
    </row>
    <row r="69" customFormat="false" ht="15" hidden="false" customHeight="false" outlineLevel="0" collapsed="false">
      <c r="A69" s="14" t="s">
        <v>1327</v>
      </c>
      <c r="B69" s="14" t="s">
        <v>1328</v>
      </c>
      <c r="C69" s="14" t="s">
        <v>1138</v>
      </c>
    </row>
    <row r="70" customFormat="false" ht="15" hidden="false" customHeight="false" outlineLevel="0" collapsed="false">
      <c r="A70" s="14" t="s">
        <v>1329</v>
      </c>
      <c r="B70" s="14" t="s">
        <v>1330</v>
      </c>
      <c r="C70" s="14" t="s">
        <v>1138</v>
      </c>
    </row>
    <row r="71" customFormat="false" ht="15" hidden="false" customHeight="false" outlineLevel="0" collapsed="false">
      <c r="A71" s="14" t="s">
        <v>1331</v>
      </c>
      <c r="B71" s="14" t="s">
        <v>1332</v>
      </c>
      <c r="C71" s="14" t="s">
        <v>1138</v>
      </c>
    </row>
    <row r="72" customFormat="false" ht="15" hidden="false" customHeight="false" outlineLevel="0" collapsed="false">
      <c r="A72" s="14" t="s">
        <v>1333</v>
      </c>
      <c r="B72" s="14" t="s">
        <v>1334</v>
      </c>
      <c r="C72" s="14" t="s">
        <v>1138</v>
      </c>
    </row>
    <row r="73" customFormat="false" ht="15" hidden="false" customHeight="false" outlineLevel="0" collapsed="false">
      <c r="A73" s="14" t="s">
        <v>1335</v>
      </c>
      <c r="B73" s="14" t="s">
        <v>1336</v>
      </c>
      <c r="C73" s="14" t="s">
        <v>1138</v>
      </c>
    </row>
    <row r="74" customFormat="false" ht="15" hidden="false" customHeight="false" outlineLevel="0" collapsed="false">
      <c r="A74" s="14" t="s">
        <v>1337</v>
      </c>
      <c r="B74" s="14" t="s">
        <v>1338</v>
      </c>
      <c r="C74" s="14" t="s">
        <v>1138</v>
      </c>
    </row>
    <row r="75" customFormat="false" ht="15" hidden="false" customHeight="false" outlineLevel="0" collapsed="false">
      <c r="A75" s="14" t="s">
        <v>1339</v>
      </c>
      <c r="B75" s="14" t="s">
        <v>1340</v>
      </c>
      <c r="C75" s="14" t="s">
        <v>1138</v>
      </c>
    </row>
    <row r="76" customFormat="false" ht="15" hidden="false" customHeight="false" outlineLevel="0" collapsed="false">
      <c r="A76" s="14" t="s">
        <v>1341</v>
      </c>
      <c r="B76" s="14" t="s">
        <v>1342</v>
      </c>
      <c r="C76" s="14" t="s">
        <v>1138</v>
      </c>
    </row>
    <row r="77" customFormat="false" ht="15" hidden="false" customHeight="false" outlineLevel="0" collapsed="false">
      <c r="A77" s="14" t="s">
        <v>1343</v>
      </c>
      <c r="B77" s="14" t="s">
        <v>1344</v>
      </c>
      <c r="C77" s="14" t="s">
        <v>1141</v>
      </c>
    </row>
    <row r="78" customFormat="false" ht="15" hidden="false" customHeight="false" outlineLevel="0" collapsed="false">
      <c r="A78" s="14" t="s">
        <v>1345</v>
      </c>
      <c r="B78" s="14" t="s">
        <v>1346</v>
      </c>
      <c r="C78" s="14" t="s">
        <v>1141</v>
      </c>
    </row>
    <row r="79" customFormat="false" ht="15" hidden="false" customHeight="false" outlineLevel="0" collapsed="false">
      <c r="A79" s="14" t="s">
        <v>1347</v>
      </c>
      <c r="B79" s="14" t="s">
        <v>1348</v>
      </c>
      <c r="C79" s="14" t="s">
        <v>1141</v>
      </c>
    </row>
    <row r="80" customFormat="false" ht="15" hidden="false" customHeight="false" outlineLevel="0" collapsed="false">
      <c r="A80" s="14" t="s">
        <v>1349</v>
      </c>
      <c r="B80" s="14" t="s">
        <v>1350</v>
      </c>
      <c r="C80" s="14" t="s">
        <v>1144</v>
      </c>
    </row>
    <row r="81" customFormat="false" ht="15" hidden="false" customHeight="false" outlineLevel="0" collapsed="false">
      <c r="A81" s="14" t="s">
        <v>1351</v>
      </c>
      <c r="B81" s="14" t="s">
        <v>1352</v>
      </c>
      <c r="C81" s="14" t="s">
        <v>1147</v>
      </c>
    </row>
    <row r="82" customFormat="false" ht="15" hidden="false" customHeight="false" outlineLevel="0" collapsed="false">
      <c r="A82" s="14" t="s">
        <v>1353</v>
      </c>
      <c r="B82" s="14" t="s">
        <v>1354</v>
      </c>
      <c r="C82" s="14" t="s">
        <v>1147</v>
      </c>
    </row>
    <row r="83" customFormat="false" ht="15" hidden="false" customHeight="false" outlineLevel="0" collapsed="false">
      <c r="A83" s="14" t="s">
        <v>1355</v>
      </c>
      <c r="B83" s="14" t="s">
        <v>1356</v>
      </c>
      <c r="C83" s="14" t="s">
        <v>1147</v>
      </c>
    </row>
    <row r="84" customFormat="false" ht="15" hidden="false" customHeight="false" outlineLevel="0" collapsed="false">
      <c r="A84" s="14" t="s">
        <v>1357</v>
      </c>
      <c r="B84" s="14" t="s">
        <v>1358</v>
      </c>
      <c r="C84" s="14" t="s">
        <v>1147</v>
      </c>
    </row>
    <row r="85" customFormat="false" ht="15" hidden="false" customHeight="false" outlineLevel="0" collapsed="false">
      <c r="A85" s="14" t="s">
        <v>1359</v>
      </c>
      <c r="B85" s="14" t="s">
        <v>1360</v>
      </c>
      <c r="C85" s="14" t="s">
        <v>1147</v>
      </c>
    </row>
    <row r="86" customFormat="false" ht="15" hidden="false" customHeight="false" outlineLevel="0" collapsed="false">
      <c r="A86" s="14" t="s">
        <v>1361</v>
      </c>
      <c r="B86" s="14" t="s">
        <v>1362</v>
      </c>
      <c r="C86" s="14" t="s">
        <v>1147</v>
      </c>
    </row>
    <row r="87" customFormat="false" ht="15" hidden="false" customHeight="false" outlineLevel="0" collapsed="false">
      <c r="A87" s="14" t="s">
        <v>1363</v>
      </c>
      <c r="B87" s="14" t="s">
        <v>1364</v>
      </c>
      <c r="C87" s="14" t="s">
        <v>1149</v>
      </c>
    </row>
    <row r="88" customFormat="false" ht="15" hidden="false" customHeight="false" outlineLevel="0" collapsed="false">
      <c r="A88" s="14" t="s">
        <v>1365</v>
      </c>
      <c r="B88" s="14" t="s">
        <v>1366</v>
      </c>
      <c r="C88" s="14" t="s">
        <v>1149</v>
      </c>
    </row>
    <row r="89" customFormat="false" ht="15" hidden="false" customHeight="false" outlineLevel="0" collapsed="false">
      <c r="A89" s="14" t="s">
        <v>1367</v>
      </c>
      <c r="B89" s="14" t="s">
        <v>1368</v>
      </c>
      <c r="C89" s="14" t="s">
        <v>1149</v>
      </c>
    </row>
    <row r="90" customFormat="false" ht="15" hidden="false" customHeight="false" outlineLevel="0" collapsed="false">
      <c r="A90" s="14" t="s">
        <v>1369</v>
      </c>
      <c r="B90" s="14" t="s">
        <v>1370</v>
      </c>
      <c r="C90" s="14" t="s">
        <v>1149</v>
      </c>
    </row>
    <row r="91" customFormat="false" ht="15" hidden="false" customHeight="false" outlineLevel="0" collapsed="false">
      <c r="A91" s="14" t="s">
        <v>1371</v>
      </c>
      <c r="B91" s="14" t="s">
        <v>1372</v>
      </c>
      <c r="C91" s="14" t="s">
        <v>1151</v>
      </c>
    </row>
    <row r="92" customFormat="false" ht="15" hidden="false" customHeight="false" outlineLevel="0" collapsed="false">
      <c r="A92" s="14" t="s">
        <v>1373</v>
      </c>
      <c r="B92" s="14" t="s">
        <v>1374</v>
      </c>
      <c r="C92" s="14" t="s">
        <v>1151</v>
      </c>
    </row>
    <row r="93" customFormat="false" ht="15" hidden="false" customHeight="false" outlineLevel="0" collapsed="false">
      <c r="A93" s="14" t="s">
        <v>1375</v>
      </c>
      <c r="B93" s="14" t="s">
        <v>1376</v>
      </c>
      <c r="C93" s="14" t="s">
        <v>1151</v>
      </c>
    </row>
    <row r="94" customFormat="false" ht="15" hidden="false" customHeight="false" outlineLevel="0" collapsed="false">
      <c r="A94" s="14" t="s">
        <v>1377</v>
      </c>
      <c r="B94" s="14" t="s">
        <v>1378</v>
      </c>
      <c r="C94" s="14" t="s">
        <v>1154</v>
      </c>
    </row>
    <row r="95" customFormat="false" ht="15" hidden="false" customHeight="false" outlineLevel="0" collapsed="false">
      <c r="A95" s="14" t="s">
        <v>1379</v>
      </c>
      <c r="B95" s="14" t="s">
        <v>1380</v>
      </c>
      <c r="C95" s="14" t="s">
        <v>1154</v>
      </c>
    </row>
    <row r="96" customFormat="false" ht="15" hidden="false" customHeight="false" outlineLevel="0" collapsed="false">
      <c r="A96" s="14" t="s">
        <v>1381</v>
      </c>
      <c r="B96" s="14" t="s">
        <v>1382</v>
      </c>
      <c r="C96" s="14" t="s">
        <v>1154</v>
      </c>
    </row>
    <row r="97" customFormat="false" ht="15" hidden="false" customHeight="false" outlineLevel="0" collapsed="false">
      <c r="A97" s="14" t="s">
        <v>1383</v>
      </c>
      <c r="B97" s="14" t="s">
        <v>1384</v>
      </c>
      <c r="C97" s="14" t="s">
        <v>1154</v>
      </c>
    </row>
    <row r="98" customFormat="false" ht="15" hidden="false" customHeight="false" outlineLevel="0" collapsed="false">
      <c r="A98" s="14" t="s">
        <v>1385</v>
      </c>
      <c r="B98" s="14" t="s">
        <v>1386</v>
      </c>
      <c r="C98" s="14" t="s">
        <v>1154</v>
      </c>
    </row>
    <row r="99" customFormat="false" ht="15" hidden="false" customHeight="false" outlineLevel="0" collapsed="false">
      <c r="A99" s="14" t="s">
        <v>1387</v>
      </c>
      <c r="B99" s="14" t="s">
        <v>1388</v>
      </c>
      <c r="C99" s="14" t="s">
        <v>1157</v>
      </c>
    </row>
    <row r="100" customFormat="false" ht="15" hidden="false" customHeight="false" outlineLevel="0" collapsed="false">
      <c r="A100" s="14" t="s">
        <v>1389</v>
      </c>
      <c r="B100" s="14" t="s">
        <v>1390</v>
      </c>
      <c r="C100" s="14" t="s">
        <v>1157</v>
      </c>
    </row>
    <row r="101" customFormat="false" ht="15" hidden="false" customHeight="false" outlineLevel="0" collapsed="false">
      <c r="A101" s="14" t="s">
        <v>1391</v>
      </c>
      <c r="B101" s="14" t="s">
        <v>1392</v>
      </c>
      <c r="C101" s="14" t="s">
        <v>1157</v>
      </c>
    </row>
    <row r="102" customFormat="false" ht="15" hidden="false" customHeight="false" outlineLevel="0" collapsed="false">
      <c r="A102" s="14" t="s">
        <v>1393</v>
      </c>
      <c r="B102" s="14" t="s">
        <v>1394</v>
      </c>
      <c r="C102" s="14" t="s">
        <v>1157</v>
      </c>
    </row>
    <row r="103" customFormat="false" ht="15" hidden="false" customHeight="false" outlineLevel="0" collapsed="false">
      <c r="A103" s="14" t="s">
        <v>1395</v>
      </c>
      <c r="B103" s="14" t="s">
        <v>1396</v>
      </c>
      <c r="C103" s="14" t="s">
        <v>1159</v>
      </c>
    </row>
    <row r="104" customFormat="false" ht="15" hidden="false" customHeight="false" outlineLevel="0" collapsed="false">
      <c r="A104" s="14" t="s">
        <v>1397</v>
      </c>
      <c r="B104" s="14" t="s">
        <v>1398</v>
      </c>
      <c r="C104" s="14" t="s">
        <v>1159</v>
      </c>
    </row>
    <row r="105" customFormat="false" ht="15" hidden="false" customHeight="false" outlineLevel="0" collapsed="false">
      <c r="A105" s="14" t="s">
        <v>1399</v>
      </c>
      <c r="B105" s="14" t="s">
        <v>1400</v>
      </c>
      <c r="C105" s="14" t="s">
        <v>1159</v>
      </c>
    </row>
    <row r="106" customFormat="false" ht="15" hidden="false" customHeight="false" outlineLevel="0" collapsed="false">
      <c r="A106" s="14" t="s">
        <v>1401</v>
      </c>
      <c r="B106" s="14" t="s">
        <v>1402</v>
      </c>
      <c r="C106" s="14" t="s">
        <v>1159</v>
      </c>
    </row>
    <row r="107" customFormat="false" ht="15" hidden="false" customHeight="false" outlineLevel="0" collapsed="false">
      <c r="A107" s="14" t="s">
        <v>1403</v>
      </c>
      <c r="B107" s="14" t="s">
        <v>1404</v>
      </c>
      <c r="C107" s="14" t="s">
        <v>1159</v>
      </c>
    </row>
    <row r="108" customFormat="false" ht="15" hidden="false" customHeight="false" outlineLevel="0" collapsed="false">
      <c r="A108" s="14" t="s">
        <v>1405</v>
      </c>
      <c r="B108" s="14" t="s">
        <v>1370</v>
      </c>
      <c r="C108" s="14" t="s">
        <v>1162</v>
      </c>
    </row>
    <row r="109" customFormat="false" ht="15" hidden="false" customHeight="false" outlineLevel="0" collapsed="false">
      <c r="A109" s="14" t="s">
        <v>1406</v>
      </c>
      <c r="B109" s="14" t="s">
        <v>1407</v>
      </c>
      <c r="C109" s="14" t="s">
        <v>1165</v>
      </c>
    </row>
    <row r="110" customFormat="false" ht="15" hidden="false" customHeight="false" outlineLevel="0" collapsed="false">
      <c r="A110" s="14" t="s">
        <v>1408</v>
      </c>
      <c r="B110" s="14" t="s">
        <v>1409</v>
      </c>
      <c r="C110" s="14" t="s">
        <v>1165</v>
      </c>
    </row>
    <row r="111" customFormat="false" ht="15" hidden="false" customHeight="false" outlineLevel="0" collapsed="false">
      <c r="A111" s="14" t="s">
        <v>1410</v>
      </c>
      <c r="B111" s="14" t="s">
        <v>1214</v>
      </c>
      <c r="C111" s="14" t="s">
        <v>1165</v>
      </c>
    </row>
    <row r="112" customFormat="false" ht="15" hidden="false" customHeight="false" outlineLevel="0" collapsed="false">
      <c r="A112" s="14" t="s">
        <v>1411</v>
      </c>
      <c r="B112" s="14" t="s">
        <v>1412</v>
      </c>
      <c r="C112" s="14" t="s">
        <v>1167</v>
      </c>
    </row>
    <row r="113" customFormat="false" ht="15" hidden="false" customHeight="false" outlineLevel="0" collapsed="false">
      <c r="A113" s="14" t="s">
        <v>1413</v>
      </c>
      <c r="B113" s="14" t="s">
        <v>1414</v>
      </c>
      <c r="C113" s="14" t="s">
        <v>1167</v>
      </c>
    </row>
    <row r="114" customFormat="false" ht="15" hidden="false" customHeight="false" outlineLevel="0" collapsed="false">
      <c r="A114" s="14" t="s">
        <v>1415</v>
      </c>
      <c r="B114" s="14" t="s">
        <v>1416</v>
      </c>
      <c r="C114" s="14" t="s">
        <v>1167</v>
      </c>
    </row>
    <row r="115" customFormat="false" ht="15" hidden="false" customHeight="false" outlineLevel="0" collapsed="false">
      <c r="A115" s="14" t="s">
        <v>1417</v>
      </c>
      <c r="B115" s="14" t="s">
        <v>1418</v>
      </c>
      <c r="C115" s="14" t="s">
        <v>1169</v>
      </c>
    </row>
    <row r="116" customFormat="false" ht="15" hidden="false" customHeight="false" outlineLevel="0" collapsed="false">
      <c r="A116" s="14" t="s">
        <v>1419</v>
      </c>
      <c r="B116" s="14" t="s">
        <v>1420</v>
      </c>
      <c r="C116" s="14" t="s">
        <v>1169</v>
      </c>
    </row>
    <row r="117" customFormat="false" ht="15" hidden="false" customHeight="false" outlineLevel="0" collapsed="false">
      <c r="A117" s="14" t="s">
        <v>1421</v>
      </c>
      <c r="B117" s="14" t="s">
        <v>1422</v>
      </c>
      <c r="C117" s="14" t="s">
        <v>1169</v>
      </c>
    </row>
    <row r="118" customFormat="false" ht="15" hidden="false" customHeight="false" outlineLevel="0" collapsed="false">
      <c r="A118" s="14" t="s">
        <v>1423</v>
      </c>
      <c r="B118" s="14" t="s">
        <v>1424</v>
      </c>
      <c r="C118" s="14" t="s">
        <v>1169</v>
      </c>
    </row>
    <row r="119" customFormat="false" ht="15" hidden="false" customHeight="false" outlineLevel="0" collapsed="false">
      <c r="A119" s="14" t="s">
        <v>1425</v>
      </c>
      <c r="B119" s="14" t="s">
        <v>1426</v>
      </c>
      <c r="C119" s="14" t="s">
        <v>1171</v>
      </c>
    </row>
    <row r="120" customFormat="false" ht="15" hidden="false" customHeight="false" outlineLevel="0" collapsed="false">
      <c r="A120" s="14" t="s">
        <v>1427</v>
      </c>
      <c r="B120" s="14" t="s">
        <v>1428</v>
      </c>
      <c r="C120" s="14" t="s">
        <v>1171</v>
      </c>
    </row>
    <row r="121" customFormat="false" ht="15" hidden="false" customHeight="false" outlineLevel="0" collapsed="false">
      <c r="A121" s="14" t="s">
        <v>1429</v>
      </c>
      <c r="B121" s="14" t="s">
        <v>1430</v>
      </c>
      <c r="C121" s="14" t="s">
        <v>1171</v>
      </c>
    </row>
    <row r="122" customFormat="false" ht="15" hidden="false" customHeight="false" outlineLevel="0" collapsed="false">
      <c r="A122" s="14" t="s">
        <v>1431</v>
      </c>
      <c r="B122" s="14" t="s">
        <v>1432</v>
      </c>
      <c r="C122" s="14" t="s">
        <v>1171</v>
      </c>
    </row>
    <row r="123" customFormat="false" ht="15" hidden="false" customHeight="false" outlineLevel="0" collapsed="false">
      <c r="A123" s="14" t="s">
        <v>1433</v>
      </c>
      <c r="B123" s="14" t="s">
        <v>1434</v>
      </c>
      <c r="C123" s="14" t="s">
        <v>1172</v>
      </c>
    </row>
    <row r="124" customFormat="false" ht="15" hidden="false" customHeight="false" outlineLevel="0" collapsed="false">
      <c r="A124" s="14" t="s">
        <v>1435</v>
      </c>
      <c r="B124" s="14" t="s">
        <v>1436</v>
      </c>
      <c r="C124" s="14" t="s">
        <v>1174</v>
      </c>
    </row>
    <row r="125" customFormat="false" ht="15" hidden="false" customHeight="false" outlineLevel="0" collapsed="false">
      <c r="A125" s="14" t="s">
        <v>1437</v>
      </c>
      <c r="B125" s="14" t="s">
        <v>1438</v>
      </c>
      <c r="C125" s="14" t="s">
        <v>1174</v>
      </c>
    </row>
    <row r="126" customFormat="false" ht="15" hidden="false" customHeight="false" outlineLevel="0" collapsed="false">
      <c r="A126" s="14" t="s">
        <v>1439</v>
      </c>
      <c r="B126" s="14" t="s">
        <v>1440</v>
      </c>
      <c r="C126" s="14" t="s">
        <v>1176</v>
      </c>
    </row>
    <row r="127" customFormat="false" ht="15" hidden="false" customHeight="false" outlineLevel="0" collapsed="false">
      <c r="A127" s="14" t="s">
        <v>1441</v>
      </c>
      <c r="B127" s="14" t="s">
        <v>1442</v>
      </c>
      <c r="C127" s="14" t="s">
        <v>1176</v>
      </c>
    </row>
    <row r="128" customFormat="false" ht="15" hidden="false" customHeight="false" outlineLevel="0" collapsed="false">
      <c r="A128" s="14" t="s">
        <v>1443</v>
      </c>
      <c r="B128" s="14" t="s">
        <v>1444</v>
      </c>
      <c r="C128" s="14" t="s">
        <v>1176</v>
      </c>
    </row>
    <row r="129" customFormat="false" ht="15" hidden="false" customHeight="false" outlineLevel="0" collapsed="false">
      <c r="A129" s="14" t="s">
        <v>1445</v>
      </c>
      <c r="B129" s="14" t="s">
        <v>1446</v>
      </c>
      <c r="C129" s="14" t="s">
        <v>1176</v>
      </c>
    </row>
    <row r="130" customFormat="false" ht="15" hidden="false" customHeight="false" outlineLevel="0" collapsed="false">
      <c r="A130" s="14" t="s">
        <v>1447</v>
      </c>
      <c r="B130" s="14" t="s">
        <v>1448</v>
      </c>
      <c r="C130" s="14" t="s">
        <v>1176</v>
      </c>
    </row>
    <row r="131" customFormat="false" ht="15" hidden="false" customHeight="false" outlineLevel="0" collapsed="false">
      <c r="A131" s="14" t="s">
        <v>1449</v>
      </c>
      <c r="B131" s="14" t="s">
        <v>1450</v>
      </c>
      <c r="C131" s="14" t="s">
        <v>1176</v>
      </c>
    </row>
    <row r="132" customFormat="false" ht="15" hidden="false" customHeight="false" outlineLevel="0" collapsed="false">
      <c r="A132" s="14" t="s">
        <v>1451</v>
      </c>
      <c r="B132" s="14" t="s">
        <v>1452</v>
      </c>
      <c r="C132" s="14" t="s">
        <v>1176</v>
      </c>
    </row>
    <row r="133" customFormat="false" ht="15" hidden="false" customHeight="false" outlineLevel="0" collapsed="false">
      <c r="A133" s="14" t="s">
        <v>1453</v>
      </c>
      <c r="B133" s="14" t="s">
        <v>1454</v>
      </c>
      <c r="C133" s="14" t="s">
        <v>1176</v>
      </c>
    </row>
    <row r="134" customFormat="false" ht="15" hidden="false" customHeight="false" outlineLevel="0" collapsed="false">
      <c r="A134" s="14" t="s">
        <v>1455</v>
      </c>
      <c r="B134" s="14" t="s">
        <v>1244</v>
      </c>
      <c r="C134" s="14" t="s">
        <v>1176</v>
      </c>
    </row>
    <row r="135" customFormat="false" ht="15" hidden="false" customHeight="false" outlineLevel="0" collapsed="false">
      <c r="A135" s="14" t="s">
        <v>1456</v>
      </c>
      <c r="B135" s="14" t="s">
        <v>1246</v>
      </c>
      <c r="C135" s="14" t="s">
        <v>1176</v>
      </c>
    </row>
    <row r="136" customFormat="false" ht="15" hidden="false" customHeight="false" outlineLevel="0" collapsed="false">
      <c r="A136" s="14" t="s">
        <v>1457</v>
      </c>
      <c r="B136" s="14" t="s">
        <v>1242</v>
      </c>
      <c r="C136" s="14" t="s">
        <v>1176</v>
      </c>
    </row>
    <row r="137" customFormat="false" ht="15" hidden="false" customHeight="false" outlineLevel="0" collapsed="false">
      <c r="A137" s="14" t="s">
        <v>1458</v>
      </c>
      <c r="B137" s="14" t="s">
        <v>1459</v>
      </c>
      <c r="C137" s="14" t="s">
        <v>1176</v>
      </c>
    </row>
    <row r="138" customFormat="false" ht="15" hidden="false" customHeight="false" outlineLevel="0" collapsed="false">
      <c r="A138" s="14" t="s">
        <v>1460</v>
      </c>
      <c r="B138" s="14" t="s">
        <v>1254</v>
      </c>
      <c r="C138" s="14" t="s">
        <v>1176</v>
      </c>
    </row>
    <row r="139" customFormat="false" ht="15" hidden="false" customHeight="false" outlineLevel="0" collapsed="false">
      <c r="A139" s="14" t="s">
        <v>1461</v>
      </c>
      <c r="B139" s="14" t="s">
        <v>1105</v>
      </c>
      <c r="C139" s="14" t="s">
        <v>1176</v>
      </c>
    </row>
    <row r="140" customFormat="false" ht="15" hidden="false" customHeight="false" outlineLevel="0" collapsed="false">
      <c r="A140" s="14" t="s">
        <v>1462</v>
      </c>
      <c r="B140" s="14" t="s">
        <v>1414</v>
      </c>
      <c r="C140" s="14" t="s">
        <v>1176</v>
      </c>
    </row>
    <row r="141" customFormat="false" ht="15" hidden="false" customHeight="false" outlineLevel="0" collapsed="false">
      <c r="A141" s="14" t="s">
        <v>1463</v>
      </c>
      <c r="B141" s="14" t="s">
        <v>1260</v>
      </c>
      <c r="C141" s="14" t="s">
        <v>1176</v>
      </c>
    </row>
    <row r="142" customFormat="false" ht="15" hidden="false" customHeight="false" outlineLevel="0" collapsed="false">
      <c r="A142" s="14" t="s">
        <v>1464</v>
      </c>
      <c r="B142" s="14" t="s">
        <v>1465</v>
      </c>
      <c r="C142" s="14" t="s">
        <v>1176</v>
      </c>
    </row>
    <row r="143" customFormat="false" ht="15" hidden="false" customHeight="false" outlineLevel="0" collapsed="false">
      <c r="A143" s="14" t="s">
        <v>1466</v>
      </c>
      <c r="B143" s="14" t="s">
        <v>1296</v>
      </c>
      <c r="C143" s="14" t="s">
        <v>1178</v>
      </c>
    </row>
    <row r="144" customFormat="false" ht="15" hidden="false" customHeight="false" outlineLevel="0" collapsed="false">
      <c r="A144" s="14" t="s">
        <v>1467</v>
      </c>
      <c r="B144" s="14" t="s">
        <v>1468</v>
      </c>
      <c r="C144" s="14" t="s">
        <v>1178</v>
      </c>
    </row>
    <row r="145" customFormat="false" ht="15" hidden="false" customHeight="false" outlineLevel="0" collapsed="false">
      <c r="A145" s="14" t="s">
        <v>1469</v>
      </c>
      <c r="B145" s="14" t="s">
        <v>1470</v>
      </c>
      <c r="C145" s="14" t="s">
        <v>1178</v>
      </c>
    </row>
    <row r="146" customFormat="false" ht="15" hidden="false" customHeight="false" outlineLevel="0" collapsed="false">
      <c r="A146" s="14" t="s">
        <v>1471</v>
      </c>
      <c r="B146" s="14" t="s">
        <v>1472</v>
      </c>
      <c r="C146" s="14" t="s">
        <v>1178</v>
      </c>
    </row>
    <row r="147" customFormat="false" ht="15" hidden="false" customHeight="false" outlineLevel="0" collapsed="false">
      <c r="A147" s="14" t="s">
        <v>1473</v>
      </c>
      <c r="B147" s="14" t="s">
        <v>1474</v>
      </c>
      <c r="C147" s="14" t="s">
        <v>1178</v>
      </c>
    </row>
    <row r="148" customFormat="false" ht="15" hidden="false" customHeight="false" outlineLevel="0" collapsed="false">
      <c r="A148" s="14" t="s">
        <v>1475</v>
      </c>
      <c r="B148" s="14" t="s">
        <v>1476</v>
      </c>
      <c r="C148" s="14" t="s">
        <v>1178</v>
      </c>
    </row>
    <row r="149" customFormat="false" ht="15" hidden="false" customHeight="false" outlineLevel="0" collapsed="false">
      <c r="A149" s="14" t="s">
        <v>1477</v>
      </c>
      <c r="B149" s="14" t="s">
        <v>1478</v>
      </c>
      <c r="C149" s="14" t="s">
        <v>1178</v>
      </c>
    </row>
    <row r="150" customFormat="false" ht="15" hidden="false" customHeight="false" outlineLevel="0" collapsed="false">
      <c r="A150" s="14" t="s">
        <v>1479</v>
      </c>
      <c r="B150" s="14" t="s">
        <v>1480</v>
      </c>
      <c r="C150" s="14" t="s">
        <v>1178</v>
      </c>
    </row>
    <row r="151" customFormat="false" ht="15" hidden="false" customHeight="false" outlineLevel="0" collapsed="false">
      <c r="A151" s="14" t="s">
        <v>1481</v>
      </c>
      <c r="B151" s="14" t="s">
        <v>1482</v>
      </c>
      <c r="C151" s="14" t="s">
        <v>1178</v>
      </c>
    </row>
    <row r="152" customFormat="false" ht="15" hidden="false" customHeight="false" outlineLevel="0" collapsed="false">
      <c r="A152" s="14" t="s">
        <v>1483</v>
      </c>
      <c r="B152" s="14" t="s">
        <v>1484</v>
      </c>
      <c r="C152" s="14" t="s">
        <v>1178</v>
      </c>
    </row>
    <row r="153" customFormat="false" ht="15" hidden="false" customHeight="false" outlineLevel="0" collapsed="false">
      <c r="A153" s="14" t="s">
        <v>1485</v>
      </c>
      <c r="B153" s="14" t="s">
        <v>1312</v>
      </c>
      <c r="C153" s="14" t="s">
        <v>1178</v>
      </c>
    </row>
    <row r="154" customFormat="false" ht="15" hidden="false" customHeight="false" outlineLevel="0" collapsed="false">
      <c r="A154" s="14" t="s">
        <v>1486</v>
      </c>
      <c r="B154" s="14" t="s">
        <v>1308</v>
      </c>
      <c r="C154" s="14" t="s">
        <v>1178</v>
      </c>
    </row>
    <row r="155" customFormat="false" ht="15" hidden="false" customHeight="false" outlineLevel="0" collapsed="false">
      <c r="A155" s="14" t="s">
        <v>1487</v>
      </c>
      <c r="B155" s="14" t="s">
        <v>1488</v>
      </c>
      <c r="C155" s="14" t="s">
        <v>1178</v>
      </c>
    </row>
    <row r="156" customFormat="false" ht="15" hidden="false" customHeight="false" outlineLevel="0" collapsed="false">
      <c r="A156" s="14" t="s">
        <v>1489</v>
      </c>
      <c r="B156" s="14" t="s">
        <v>1316</v>
      </c>
      <c r="C156" s="14" t="s">
        <v>1178</v>
      </c>
    </row>
    <row r="157" customFormat="false" ht="15" hidden="false" customHeight="false" outlineLevel="0" collapsed="false">
      <c r="A157" s="14" t="s">
        <v>1490</v>
      </c>
      <c r="B157" s="14" t="s">
        <v>1350</v>
      </c>
      <c r="C157" s="14" t="s">
        <v>1180</v>
      </c>
    </row>
    <row r="158" customFormat="false" ht="15" hidden="false" customHeight="false" outlineLevel="0" collapsed="false">
      <c r="A158" s="14" t="s">
        <v>1491</v>
      </c>
      <c r="B158" s="14" t="s">
        <v>1492</v>
      </c>
      <c r="C158" s="14" t="s">
        <v>1180</v>
      </c>
    </row>
    <row r="159" customFormat="false" ht="15" hidden="false" customHeight="false" outlineLevel="0" collapsed="false">
      <c r="A159" s="14" t="s">
        <v>1493</v>
      </c>
      <c r="B159" s="14" t="s">
        <v>1346</v>
      </c>
      <c r="C159" s="14" t="s">
        <v>1180</v>
      </c>
    </row>
    <row r="160" customFormat="false" ht="15" hidden="false" customHeight="false" outlineLevel="0" collapsed="false">
      <c r="A160" s="14" t="s">
        <v>1494</v>
      </c>
      <c r="B160" s="14" t="s">
        <v>1495</v>
      </c>
      <c r="C160" s="14" t="s">
        <v>1180</v>
      </c>
    </row>
    <row r="161" customFormat="false" ht="15" hidden="false" customHeight="false" outlineLevel="0" collapsed="false">
      <c r="A161" s="14" t="s">
        <v>1496</v>
      </c>
      <c r="B161" s="14" t="s">
        <v>1497</v>
      </c>
      <c r="C161" s="14" t="s">
        <v>1180</v>
      </c>
    </row>
    <row r="162" customFormat="false" ht="15" hidden="false" customHeight="false" outlineLevel="0" collapsed="false">
      <c r="A162" s="14" t="s">
        <v>1498</v>
      </c>
      <c r="B162" s="14" t="s">
        <v>1499</v>
      </c>
      <c r="C162" s="14" t="s">
        <v>1180</v>
      </c>
    </row>
    <row r="163" customFormat="false" ht="15" hidden="false" customHeight="false" outlineLevel="0" collapsed="false">
      <c r="A163" s="14" t="s">
        <v>1500</v>
      </c>
      <c r="B163" s="14" t="s">
        <v>1501</v>
      </c>
      <c r="C163" s="14" t="s">
        <v>1180</v>
      </c>
    </row>
    <row r="164" customFormat="false" ht="15" hidden="false" customHeight="false" outlineLevel="0" collapsed="false">
      <c r="A164" s="14" t="s">
        <v>1502</v>
      </c>
      <c r="B164" s="14" t="s">
        <v>1342</v>
      </c>
      <c r="C164" s="14" t="s">
        <v>1180</v>
      </c>
    </row>
    <row r="165" customFormat="false" ht="15" hidden="false" customHeight="false" outlineLevel="0" collapsed="false">
      <c r="A165" s="14" t="s">
        <v>1503</v>
      </c>
      <c r="B165" s="14" t="s">
        <v>1340</v>
      </c>
      <c r="C165" s="14" t="s">
        <v>1180</v>
      </c>
    </row>
    <row r="166" customFormat="false" ht="15" hidden="false" customHeight="false" outlineLevel="0" collapsed="false">
      <c r="A166" s="14" t="s">
        <v>1504</v>
      </c>
      <c r="B166" s="14" t="s">
        <v>1505</v>
      </c>
      <c r="C166" s="14" t="s">
        <v>1180</v>
      </c>
    </row>
    <row r="167" customFormat="false" ht="15" hidden="false" customHeight="false" outlineLevel="0" collapsed="false">
      <c r="A167" s="14" t="s">
        <v>1506</v>
      </c>
      <c r="B167" s="14" t="s">
        <v>1507</v>
      </c>
      <c r="C167" s="14" t="s">
        <v>1182</v>
      </c>
    </row>
    <row r="168" customFormat="false" ht="15" hidden="false" customHeight="false" outlineLevel="0" collapsed="false">
      <c r="A168" s="14" t="s">
        <v>1508</v>
      </c>
      <c r="B168" s="14" t="s">
        <v>1509</v>
      </c>
      <c r="C168" s="14" t="s">
        <v>1182</v>
      </c>
    </row>
    <row r="169" customFormat="false" ht="15" hidden="false" customHeight="false" outlineLevel="0" collapsed="false">
      <c r="A169" s="14" t="s">
        <v>1510</v>
      </c>
      <c r="B169" s="14" t="s">
        <v>1511</v>
      </c>
      <c r="C169" s="14" t="s">
        <v>1182</v>
      </c>
    </row>
    <row r="170" customFormat="false" ht="15" hidden="false" customHeight="false" outlineLevel="0" collapsed="false">
      <c r="A170" s="14" t="s">
        <v>1512</v>
      </c>
      <c r="B170" s="14" t="s">
        <v>1220</v>
      </c>
      <c r="C170" s="14" t="s">
        <v>1182</v>
      </c>
    </row>
    <row r="171" customFormat="false" ht="15" hidden="false" customHeight="false" outlineLevel="0" collapsed="false">
      <c r="A171" s="14" t="s">
        <v>1513</v>
      </c>
      <c r="B171" s="14" t="s">
        <v>1514</v>
      </c>
      <c r="C171" s="14" t="s">
        <v>1182</v>
      </c>
    </row>
    <row r="172" customFormat="false" ht="15" hidden="false" customHeight="false" outlineLevel="0" collapsed="false">
      <c r="A172" s="14" t="s">
        <v>1515</v>
      </c>
      <c r="B172" s="14" t="s">
        <v>1516</v>
      </c>
      <c r="C172" s="14" t="s">
        <v>1182</v>
      </c>
    </row>
    <row r="173" customFormat="false" ht="15" hidden="false" customHeight="false" outlineLevel="0" collapsed="false">
      <c r="A173" s="14" t="s">
        <v>1517</v>
      </c>
      <c r="B173" s="14" t="s">
        <v>1518</v>
      </c>
      <c r="C173" s="14" t="s">
        <v>1182</v>
      </c>
    </row>
    <row r="174" customFormat="false" ht="15" hidden="false" customHeight="false" outlineLevel="0" collapsed="false">
      <c r="A174" s="14" t="s">
        <v>1519</v>
      </c>
      <c r="B174" s="14" t="s">
        <v>1218</v>
      </c>
      <c r="C174" s="14" t="s">
        <v>1185</v>
      </c>
    </row>
    <row r="175" customFormat="false" ht="15" hidden="false" customHeight="false" outlineLevel="0" collapsed="false">
      <c r="A175" s="14" t="s">
        <v>1520</v>
      </c>
      <c r="B175" s="14" t="s">
        <v>1226</v>
      </c>
      <c r="C175" s="14" t="s">
        <v>1185</v>
      </c>
    </row>
    <row r="176" customFormat="false" ht="15" hidden="false" customHeight="false" outlineLevel="0" collapsed="false">
      <c r="A176" s="14" t="s">
        <v>1521</v>
      </c>
      <c r="B176" s="14" t="s">
        <v>1080</v>
      </c>
      <c r="C176" s="14" t="s">
        <v>1185</v>
      </c>
    </row>
    <row r="177" customFormat="false" ht="15" hidden="false" customHeight="false" outlineLevel="0" collapsed="false">
      <c r="A177" s="14" t="s">
        <v>1522</v>
      </c>
      <c r="B177" s="14" t="s">
        <v>1523</v>
      </c>
      <c r="C177" s="14" t="s">
        <v>1185</v>
      </c>
    </row>
    <row r="178" customFormat="false" ht="15" hidden="false" customHeight="false" outlineLevel="0" collapsed="false">
      <c r="A178" s="14" t="s">
        <v>1524</v>
      </c>
      <c r="B178" s="14" t="s">
        <v>1525</v>
      </c>
      <c r="C178" s="14" t="s">
        <v>1185</v>
      </c>
    </row>
    <row r="179" customFormat="false" ht="15" hidden="false" customHeight="false" outlineLevel="0" collapsed="false">
      <c r="A179" s="14" t="s">
        <v>1526</v>
      </c>
      <c r="B179" s="14" t="s">
        <v>1527</v>
      </c>
      <c r="C179" s="14" t="s">
        <v>1185</v>
      </c>
    </row>
    <row r="180" customFormat="false" ht="15" hidden="false" customHeight="false" outlineLevel="0" collapsed="false">
      <c r="A180" s="14" t="s">
        <v>1528</v>
      </c>
      <c r="B180" s="14" t="s">
        <v>1529</v>
      </c>
      <c r="C180" s="14" t="s">
        <v>1185</v>
      </c>
    </row>
    <row r="181" customFormat="false" ht="15" hidden="false" customHeight="false" outlineLevel="0" collapsed="false">
      <c r="A181" s="14" t="s">
        <v>1530</v>
      </c>
      <c r="B181" s="14" t="s">
        <v>1531</v>
      </c>
      <c r="C181" s="14" t="s">
        <v>1188</v>
      </c>
    </row>
    <row r="182" customFormat="false" ht="15" hidden="false" customHeight="false" outlineLevel="0" collapsed="false">
      <c r="A182" s="14" t="s">
        <v>1532</v>
      </c>
      <c r="B182" s="14" t="s">
        <v>1533</v>
      </c>
      <c r="C182" s="14" t="s">
        <v>1188</v>
      </c>
    </row>
    <row r="183" customFormat="false" ht="15" hidden="false" customHeight="false" outlineLevel="0" collapsed="false">
      <c r="A183" s="14" t="s">
        <v>1534</v>
      </c>
      <c r="B183" s="14" t="s">
        <v>1535</v>
      </c>
      <c r="C183" s="14" t="s">
        <v>1188</v>
      </c>
    </row>
    <row r="184" customFormat="false" ht="15" hidden="false" customHeight="false" outlineLevel="0" collapsed="false">
      <c r="A184" s="14" t="s">
        <v>1536</v>
      </c>
      <c r="B184" s="14" t="s">
        <v>1537</v>
      </c>
      <c r="C184" s="14" t="s">
        <v>1190</v>
      </c>
    </row>
    <row r="185" customFormat="false" ht="15" hidden="false" customHeight="false" outlineLevel="0" collapsed="false">
      <c r="A185" s="14" t="s">
        <v>1538</v>
      </c>
      <c r="B185" s="14" t="s">
        <v>1539</v>
      </c>
      <c r="C185" s="14" t="s">
        <v>1190</v>
      </c>
    </row>
    <row r="186" customFormat="false" ht="15" hidden="false" customHeight="false" outlineLevel="0" collapsed="false">
      <c r="A186" s="14" t="s">
        <v>1540</v>
      </c>
      <c r="B186" s="14" t="s">
        <v>1541</v>
      </c>
      <c r="C186" s="14" t="s">
        <v>1190</v>
      </c>
    </row>
    <row r="187" customFormat="false" ht="15" hidden="false" customHeight="false" outlineLevel="0" collapsed="false">
      <c r="A187" s="14" t="s">
        <v>1542</v>
      </c>
      <c r="B187" s="14" t="s">
        <v>1543</v>
      </c>
      <c r="C187" s="14" t="s">
        <v>1192</v>
      </c>
    </row>
    <row r="188" customFormat="false" ht="15" hidden="false" customHeight="false" outlineLevel="0" collapsed="false">
      <c r="A188" s="14" t="s">
        <v>1544</v>
      </c>
      <c r="B188" s="14" t="s">
        <v>1545</v>
      </c>
      <c r="C188" s="14" t="s">
        <v>1192</v>
      </c>
    </row>
    <row r="189" customFormat="false" ht="15" hidden="false" customHeight="false" outlineLevel="0" collapsed="false">
      <c r="A189" s="14" t="s">
        <v>1546</v>
      </c>
      <c r="B189" s="14" t="s">
        <v>1547</v>
      </c>
      <c r="C189" s="14" t="s">
        <v>1192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2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4"/>
    <col collapsed="false" customWidth="true" hidden="false" outlineLevel="0" max="3" min="3" style="0" width="13"/>
    <col collapsed="false" customWidth="true" hidden="false" outlineLevel="0" max="4" min="4" style="0" width="18"/>
    <col collapsed="false" customWidth="true" hidden="false" outlineLevel="0" max="5" min="5" style="0" width="21"/>
    <col collapsed="false" customWidth="true" hidden="false" outlineLevel="0" max="6" min="6" style="0" width="16"/>
    <col collapsed="false" customWidth="true" hidden="false" outlineLevel="0" max="7" min="7" style="0" width="10"/>
    <col collapsed="false" customWidth="true" hidden="false" outlineLevel="0" max="8" min="8" style="0" width="12"/>
    <col collapsed="false" customWidth="true" hidden="false" outlineLevel="0" max="9" min="9" style="0" width="20"/>
    <col collapsed="false" customWidth="true" hidden="false" outlineLevel="0" max="10" min="10" style="0" width="30"/>
    <col collapsed="false" customWidth="true" hidden="false" outlineLevel="0" max="11" min="11" style="0" width="10"/>
    <col collapsed="false" customWidth="true" hidden="false" outlineLevel="0" max="12" min="12" style="0" width="45"/>
    <col collapsed="false" customWidth="true" hidden="false" outlineLevel="0" max="14" min="13" style="0" width="10"/>
    <col collapsed="false" customWidth="true" hidden="false" outlineLevel="0" max="15" min="15" style="0" width="22"/>
    <col collapsed="false" customWidth="true" hidden="false" outlineLevel="0" max="16" min="16" style="0" width="19"/>
    <col collapsed="false" customWidth="true" hidden="false" outlineLevel="0" max="17" min="17" style="0" width="14"/>
    <col collapsed="false" customWidth="true" hidden="false" outlineLevel="0" max="18" min="18" style="0" width="18"/>
    <col collapsed="false" customWidth="true" hidden="false" outlineLevel="0" max="19" min="19" style="0" width="17"/>
    <col collapsed="false" customWidth="true" hidden="false" outlineLevel="0" max="20" min="20" style="0" width="23"/>
    <col collapsed="false" customWidth="true" hidden="false" outlineLevel="0" max="21" min="21" style="0" width="11"/>
    <col collapsed="false" customWidth="true" hidden="false" outlineLevel="0" max="22" min="22" style="0" width="21"/>
    <col collapsed="false" customWidth="true" hidden="false" outlineLevel="0" max="23" min="23" style="0" width="16"/>
    <col collapsed="false" customWidth="true" hidden="false" outlineLevel="0" max="24" min="24" style="0" width="21"/>
    <col collapsed="false" customWidth="true" hidden="false" outlineLevel="0" max="25" min="25" style="0" width="13"/>
    <col collapsed="false" customWidth="true" hidden="false" outlineLevel="0" max="28" min="26" style="0" width="16"/>
    <col collapsed="false" customWidth="true" hidden="false" outlineLevel="0" max="29" min="29" style="0" width="18"/>
    <col collapsed="false" customWidth="true" hidden="false" outlineLevel="0" max="30" min="30" style="0" width="24"/>
    <col collapsed="false" customWidth="true" hidden="false" outlineLevel="0" max="31" min="31" style="0" width="10"/>
    <col collapsed="false" customWidth="true" hidden="false" outlineLevel="0" max="32" min="32" style="0" width="16"/>
    <col collapsed="false" customWidth="true" hidden="false" outlineLevel="0" max="33" min="33" style="0" width="12"/>
    <col collapsed="false" customWidth="true" hidden="false" outlineLevel="0" max="34" min="34" style="0" width="16"/>
    <col collapsed="false" customWidth="true" hidden="false" outlineLevel="0" max="35" min="35" style="0" width="15"/>
    <col collapsed="false" customWidth="true" hidden="false" outlineLevel="0" max="36" min="36" style="0" width="23"/>
    <col collapsed="false" customWidth="true" hidden="false" outlineLevel="0" max="37" min="37" style="0" width="14"/>
    <col collapsed="false" customWidth="true" hidden="false" outlineLevel="0" max="38" min="38" style="0" width="13"/>
    <col collapsed="false" customWidth="true" hidden="false" outlineLevel="0" max="39" min="39" style="0" width="10"/>
    <col collapsed="false" customWidth="true" hidden="false" outlineLevel="0" max="40" min="40" style="0" width="19"/>
    <col collapsed="false" customWidth="true" hidden="false" outlineLevel="0" max="41" min="41" style="0" width="15"/>
    <col collapsed="false" customWidth="true" hidden="false" outlineLevel="0" max="42" min="42" style="0" width="45"/>
  </cols>
  <sheetData>
    <row r="1" customFormat="false" ht="23.85" hidden="false" customHeight="false" outlineLevel="0" collapsed="false">
      <c r="A1" s="13" t="s">
        <v>178</v>
      </c>
      <c r="B1" s="13" t="s">
        <v>182</v>
      </c>
      <c r="C1" s="13" t="s">
        <v>147</v>
      </c>
      <c r="D1" s="13" t="s">
        <v>167</v>
      </c>
      <c r="E1" s="13" t="s">
        <v>76</v>
      </c>
      <c r="F1" s="13" t="s">
        <v>186</v>
      </c>
      <c r="G1" s="13" t="s">
        <v>126</v>
      </c>
      <c r="H1" s="13" t="s">
        <v>190</v>
      </c>
      <c r="I1" s="13" t="s">
        <v>193</v>
      </c>
      <c r="J1" s="13" t="s">
        <v>197</v>
      </c>
      <c r="K1" s="13" t="s">
        <v>200</v>
      </c>
      <c r="L1" s="13" t="s">
        <v>203</v>
      </c>
      <c r="M1" s="13" t="s">
        <v>205</v>
      </c>
      <c r="N1" s="13" t="s">
        <v>207</v>
      </c>
      <c r="O1" s="13" t="s">
        <v>210</v>
      </c>
      <c r="P1" s="13" t="s">
        <v>214</v>
      </c>
      <c r="Q1" s="13" t="s">
        <v>216</v>
      </c>
      <c r="R1" s="13" t="s">
        <v>218</v>
      </c>
      <c r="S1" s="13" t="s">
        <v>220</v>
      </c>
      <c r="T1" s="13" t="s">
        <v>223</v>
      </c>
      <c r="U1" s="13" t="s">
        <v>225</v>
      </c>
      <c r="V1" s="13" t="s">
        <v>227</v>
      </c>
      <c r="W1" s="13" t="s">
        <v>229</v>
      </c>
      <c r="X1" s="13" t="s">
        <v>231</v>
      </c>
      <c r="Y1" s="13" t="s">
        <v>233</v>
      </c>
      <c r="Z1" s="13" t="s">
        <v>236</v>
      </c>
      <c r="AA1" s="13" t="s">
        <v>238</v>
      </c>
      <c r="AB1" s="13" t="s">
        <v>241</v>
      </c>
      <c r="AC1" s="13" t="s">
        <v>243</v>
      </c>
      <c r="AD1" s="13" t="s">
        <v>245</v>
      </c>
      <c r="AE1" s="13" t="s">
        <v>248</v>
      </c>
      <c r="AF1" s="13" t="s">
        <v>251</v>
      </c>
      <c r="AG1" s="13" t="s">
        <v>254</v>
      </c>
      <c r="AH1" s="13" t="s">
        <v>257</v>
      </c>
      <c r="AI1" s="13" t="s">
        <v>1548</v>
      </c>
      <c r="AJ1" s="13" t="s">
        <v>287</v>
      </c>
      <c r="AK1" s="13" t="s">
        <v>289</v>
      </c>
      <c r="AL1" s="13" t="s">
        <v>291</v>
      </c>
      <c r="AM1" s="13" t="s">
        <v>293</v>
      </c>
      <c r="AN1" s="13" t="s">
        <v>295</v>
      </c>
      <c r="AO1" s="13" t="s">
        <v>297</v>
      </c>
      <c r="AP1" s="13" t="s">
        <v>299</v>
      </c>
    </row>
    <row r="2" customFormat="false" ht="23.85" hidden="false" customHeight="false" outlineLevel="0" collapsed="false">
      <c r="A2" s="14" t="s">
        <v>1549</v>
      </c>
      <c r="B2" s="14" t="s">
        <v>1550</v>
      </c>
      <c r="C2" s="14" t="s">
        <v>1055</v>
      </c>
      <c r="D2" s="14" t="s">
        <v>1202</v>
      </c>
      <c r="E2" s="14" t="s">
        <v>750</v>
      </c>
      <c r="F2" s="14" t="s">
        <v>659</v>
      </c>
      <c r="G2" s="14" t="s">
        <v>82</v>
      </c>
      <c r="H2" s="14" t="s">
        <v>1551</v>
      </c>
      <c r="I2" s="14" t="n">
        <v>14</v>
      </c>
      <c r="J2" s="14" t="s">
        <v>1552</v>
      </c>
      <c r="K2" s="14" t="s">
        <v>1553</v>
      </c>
      <c r="L2" s="14" t="s">
        <v>1554</v>
      </c>
      <c r="M2" s="14"/>
      <c r="N2" s="14"/>
      <c r="O2" s="14" t="s">
        <v>658</v>
      </c>
      <c r="P2" s="14" t="s">
        <v>658</v>
      </c>
      <c r="Q2" s="14"/>
      <c r="R2" s="14" t="s">
        <v>659</v>
      </c>
      <c r="S2" s="14"/>
      <c r="T2" s="14"/>
      <c r="U2" s="14"/>
      <c r="V2" s="14"/>
      <c r="W2" s="14"/>
      <c r="X2" s="14"/>
      <c r="Y2" s="14" t="s">
        <v>658</v>
      </c>
      <c r="Z2" s="14" t="s">
        <v>658</v>
      </c>
      <c r="AA2" s="16" t="n">
        <v>4</v>
      </c>
      <c r="AB2" s="14"/>
      <c r="AC2" s="16"/>
      <c r="AD2" s="14" t="s">
        <v>685</v>
      </c>
      <c r="AE2" s="14" t="s">
        <v>687</v>
      </c>
      <c r="AF2" s="14"/>
      <c r="AG2" s="14"/>
      <c r="AH2" s="14" t="s">
        <v>1555</v>
      </c>
      <c r="AI2" s="14"/>
      <c r="AJ2" s="14"/>
      <c r="AK2" s="14"/>
      <c r="AL2" s="14"/>
      <c r="AM2" s="16"/>
      <c r="AN2" s="14"/>
      <c r="AO2" s="16"/>
      <c r="AP2" s="5" t="s">
        <v>1556</v>
      </c>
    </row>
    <row r="3" customFormat="false" ht="23.85" hidden="false" customHeight="false" outlineLevel="0" collapsed="false">
      <c r="A3" s="14" t="s">
        <v>1557</v>
      </c>
      <c r="B3" s="14" t="s">
        <v>1558</v>
      </c>
      <c r="C3" s="14" t="s">
        <v>1055</v>
      </c>
      <c r="D3" s="14" t="s">
        <v>1202</v>
      </c>
      <c r="E3" s="14" t="s">
        <v>750</v>
      </c>
      <c r="F3" s="14" t="s">
        <v>659</v>
      </c>
      <c r="G3" s="14" t="s">
        <v>82</v>
      </c>
      <c r="H3" s="14" t="s">
        <v>1551</v>
      </c>
      <c r="I3" s="14" t="n">
        <v>14</v>
      </c>
      <c r="J3" s="14" t="s">
        <v>1552</v>
      </c>
      <c r="K3" s="14" t="s">
        <v>1553</v>
      </c>
      <c r="L3" s="14" t="s">
        <v>1559</v>
      </c>
      <c r="M3" s="14"/>
      <c r="N3" s="14"/>
      <c r="O3" s="14" t="s">
        <v>658</v>
      </c>
      <c r="P3" s="14" t="s">
        <v>658</v>
      </c>
      <c r="Q3" s="14"/>
      <c r="R3" s="14" t="s">
        <v>659</v>
      </c>
      <c r="S3" s="14"/>
      <c r="T3" s="14"/>
      <c r="U3" s="14"/>
      <c r="V3" s="14"/>
      <c r="W3" s="14"/>
      <c r="X3" s="14"/>
      <c r="Y3" s="14" t="s">
        <v>658</v>
      </c>
      <c r="Z3" s="14" t="s">
        <v>658</v>
      </c>
      <c r="AA3" s="16" t="n">
        <v>4.2</v>
      </c>
      <c r="AB3" s="14"/>
      <c r="AC3" s="16"/>
      <c r="AD3" s="14" t="s">
        <v>685</v>
      </c>
      <c r="AE3" s="14" t="s">
        <v>687</v>
      </c>
      <c r="AF3" s="14"/>
      <c r="AG3" s="14"/>
      <c r="AH3" s="14" t="s">
        <v>1555</v>
      </c>
      <c r="AI3" s="14"/>
      <c r="AJ3" s="14"/>
      <c r="AK3" s="14"/>
      <c r="AL3" s="14"/>
      <c r="AM3" s="16"/>
      <c r="AN3" s="14"/>
      <c r="AO3" s="16"/>
      <c r="AP3" s="5" t="s">
        <v>1560</v>
      </c>
    </row>
    <row r="4" customFormat="false" ht="23.85" hidden="false" customHeight="false" outlineLevel="0" collapsed="false">
      <c r="A4" s="14" t="s">
        <v>1561</v>
      </c>
      <c r="B4" s="14" t="s">
        <v>1562</v>
      </c>
      <c r="C4" s="14" t="s">
        <v>1055</v>
      </c>
      <c r="D4" s="14" t="s">
        <v>1202</v>
      </c>
      <c r="E4" s="14" t="s">
        <v>750</v>
      </c>
      <c r="F4" s="14" t="s">
        <v>659</v>
      </c>
      <c r="G4" s="14" t="s">
        <v>82</v>
      </c>
      <c r="H4" s="14" t="s">
        <v>1551</v>
      </c>
      <c r="I4" s="14" t="n">
        <v>14</v>
      </c>
      <c r="J4" s="14" t="s">
        <v>1552</v>
      </c>
      <c r="K4" s="14" t="s">
        <v>1553</v>
      </c>
      <c r="L4" s="14" t="s">
        <v>1563</v>
      </c>
      <c r="M4" s="14"/>
      <c r="N4" s="14"/>
      <c r="O4" s="14" t="s">
        <v>658</v>
      </c>
      <c r="P4" s="14" t="s">
        <v>658</v>
      </c>
      <c r="Q4" s="14"/>
      <c r="R4" s="14" t="s">
        <v>659</v>
      </c>
      <c r="S4" s="14"/>
      <c r="T4" s="14"/>
      <c r="U4" s="14"/>
      <c r="V4" s="14"/>
      <c r="W4" s="14"/>
      <c r="X4" s="14"/>
      <c r="Y4" s="14" t="s">
        <v>659</v>
      </c>
      <c r="Z4" s="14" t="s">
        <v>659</v>
      </c>
      <c r="AA4" s="16" t="n">
        <v>4.2</v>
      </c>
      <c r="AB4" s="14"/>
      <c r="AC4" s="16"/>
      <c r="AD4" s="14" t="s">
        <v>685</v>
      </c>
      <c r="AE4" s="14" t="s">
        <v>687</v>
      </c>
      <c r="AF4" s="14"/>
      <c r="AG4" s="14"/>
      <c r="AH4" s="14" t="s">
        <v>1555</v>
      </c>
      <c r="AI4" s="14"/>
      <c r="AJ4" s="14"/>
      <c r="AK4" s="14"/>
      <c r="AL4" s="14"/>
      <c r="AM4" s="16"/>
      <c r="AN4" s="14"/>
      <c r="AO4" s="16"/>
      <c r="AP4" s="5" t="s">
        <v>1564</v>
      </c>
    </row>
    <row r="5" customFormat="false" ht="35.05" hidden="false" customHeight="false" outlineLevel="0" collapsed="false">
      <c r="A5" s="14" t="s">
        <v>1565</v>
      </c>
      <c r="B5" s="14" t="s">
        <v>1566</v>
      </c>
      <c r="C5" s="14" t="s">
        <v>1055</v>
      </c>
      <c r="D5" s="14" t="s">
        <v>1202</v>
      </c>
      <c r="E5" s="14" t="s">
        <v>750</v>
      </c>
      <c r="F5" s="14" t="s">
        <v>659</v>
      </c>
      <c r="G5" s="14" t="s">
        <v>82</v>
      </c>
      <c r="H5" s="14" t="s">
        <v>1551</v>
      </c>
      <c r="I5" s="14" t="n">
        <v>14</v>
      </c>
      <c r="J5" s="14" t="s">
        <v>1552</v>
      </c>
      <c r="K5" s="14" t="s">
        <v>1553</v>
      </c>
      <c r="L5" s="14" t="s">
        <v>1567</v>
      </c>
      <c r="M5" s="14"/>
      <c r="N5" s="14"/>
      <c r="O5" s="14" t="s">
        <v>658</v>
      </c>
      <c r="P5" s="14" t="s">
        <v>658</v>
      </c>
      <c r="Q5" s="14"/>
      <c r="R5" s="14" t="s">
        <v>659</v>
      </c>
      <c r="S5" s="14"/>
      <c r="T5" s="14"/>
      <c r="U5" s="14"/>
      <c r="V5" s="14"/>
      <c r="W5" s="14"/>
      <c r="X5" s="14"/>
      <c r="Y5" s="14" t="s">
        <v>659</v>
      </c>
      <c r="Z5" s="14" t="s">
        <v>659</v>
      </c>
      <c r="AA5" s="16" t="n">
        <v>4.2</v>
      </c>
      <c r="AB5" s="14"/>
      <c r="AC5" s="16"/>
      <c r="AD5" s="14" t="s">
        <v>685</v>
      </c>
      <c r="AE5" s="14" t="s">
        <v>687</v>
      </c>
      <c r="AF5" s="14"/>
      <c r="AG5" s="14"/>
      <c r="AH5" s="14" t="s">
        <v>1555</v>
      </c>
      <c r="AI5" s="14"/>
      <c r="AJ5" s="14"/>
      <c r="AK5" s="14"/>
      <c r="AL5" s="14"/>
      <c r="AM5" s="16"/>
      <c r="AN5" s="14"/>
      <c r="AO5" s="16"/>
      <c r="AP5" s="5" t="s">
        <v>1568</v>
      </c>
    </row>
    <row r="6" customFormat="false" ht="15" hidden="false" customHeight="false" outlineLevel="0" collapsed="false">
      <c r="A6" s="14" t="s">
        <v>1569</v>
      </c>
      <c r="B6" s="14" t="s">
        <v>1570</v>
      </c>
      <c r="C6" s="14" t="s">
        <v>1052</v>
      </c>
      <c r="D6" s="14" t="s">
        <v>1198</v>
      </c>
      <c r="E6" s="14" t="s">
        <v>750</v>
      </c>
      <c r="F6" s="14" t="s">
        <v>659</v>
      </c>
      <c r="G6" s="14" t="s">
        <v>82</v>
      </c>
      <c r="H6" s="14" t="s">
        <v>1551</v>
      </c>
      <c r="I6" s="14" t="n">
        <v>14</v>
      </c>
      <c r="J6" s="14" t="s">
        <v>1571</v>
      </c>
      <c r="K6" s="14" t="s">
        <v>1572</v>
      </c>
      <c r="L6" s="14" t="s">
        <v>1573</v>
      </c>
      <c r="M6" s="14"/>
      <c r="N6" s="14"/>
      <c r="O6" s="14" t="s">
        <v>658</v>
      </c>
      <c r="P6" s="14" t="s">
        <v>658</v>
      </c>
      <c r="Q6" s="14"/>
      <c r="R6" s="14" t="s">
        <v>658</v>
      </c>
      <c r="S6" s="14" t="s">
        <v>659</v>
      </c>
      <c r="T6" s="14" t="s">
        <v>658</v>
      </c>
      <c r="U6" s="14" t="s">
        <v>658</v>
      </c>
      <c r="V6" s="14" t="s">
        <v>659</v>
      </c>
      <c r="W6" s="14" t="s">
        <v>658</v>
      </c>
      <c r="X6" s="14" t="s">
        <v>659</v>
      </c>
      <c r="Y6" s="14"/>
      <c r="Z6" s="14"/>
      <c r="AA6" s="16" t="n">
        <v>4.8</v>
      </c>
      <c r="AB6" s="14" t="s">
        <v>672</v>
      </c>
      <c r="AC6" s="16" t="n">
        <v>4.8</v>
      </c>
      <c r="AD6" s="14" t="s">
        <v>685</v>
      </c>
      <c r="AE6" s="14"/>
      <c r="AF6" s="14"/>
      <c r="AG6" s="14" t="s">
        <v>693</v>
      </c>
      <c r="AH6" s="14" t="s">
        <v>776</v>
      </c>
      <c r="AI6" s="14"/>
      <c r="AJ6" s="14"/>
      <c r="AK6" s="14"/>
      <c r="AL6" s="14"/>
      <c r="AM6" s="16"/>
      <c r="AN6" s="14"/>
      <c r="AO6" s="16"/>
      <c r="AP6" s="5" t="s">
        <v>1574</v>
      </c>
    </row>
    <row r="7" customFormat="false" ht="15" hidden="false" customHeight="false" outlineLevel="0" collapsed="false">
      <c r="A7" s="14" t="s">
        <v>1575</v>
      </c>
      <c r="B7" s="14" t="s">
        <v>1576</v>
      </c>
      <c r="C7" s="14" t="s">
        <v>1052</v>
      </c>
      <c r="D7" s="14" t="s">
        <v>1198</v>
      </c>
      <c r="E7" s="14" t="s">
        <v>750</v>
      </c>
      <c r="F7" s="14" t="s">
        <v>659</v>
      </c>
      <c r="G7" s="14" t="s">
        <v>82</v>
      </c>
      <c r="H7" s="14" t="s">
        <v>1551</v>
      </c>
      <c r="I7" s="14" t="n">
        <v>14</v>
      </c>
      <c r="J7" s="14" t="s">
        <v>1571</v>
      </c>
      <c r="K7" s="14" t="s">
        <v>1572</v>
      </c>
      <c r="L7" s="14" t="s">
        <v>1573</v>
      </c>
      <c r="M7" s="14"/>
      <c r="N7" s="14"/>
      <c r="O7" s="14" t="s">
        <v>658</v>
      </c>
      <c r="P7" s="14" t="s">
        <v>659</v>
      </c>
      <c r="Q7" s="14"/>
      <c r="R7" s="14" t="s">
        <v>658</v>
      </c>
      <c r="S7" s="14" t="s">
        <v>659</v>
      </c>
      <c r="T7" s="14" t="s">
        <v>659</v>
      </c>
      <c r="U7" s="14" t="s">
        <v>658</v>
      </c>
      <c r="V7" s="14" t="s">
        <v>659</v>
      </c>
      <c r="W7" s="14" t="s">
        <v>658</v>
      </c>
      <c r="X7" s="14" t="s">
        <v>659</v>
      </c>
      <c r="Y7" s="14"/>
      <c r="Z7" s="14"/>
      <c r="AA7" s="16" t="n">
        <v>3.5</v>
      </c>
      <c r="AB7" s="14" t="s">
        <v>672</v>
      </c>
      <c r="AC7" s="16" t="n">
        <v>3.5</v>
      </c>
      <c r="AD7" s="14" t="s">
        <v>685</v>
      </c>
      <c r="AE7" s="14"/>
      <c r="AF7" s="14"/>
      <c r="AG7" s="14" t="s">
        <v>693</v>
      </c>
      <c r="AH7" s="14" t="s">
        <v>776</v>
      </c>
      <c r="AI7" s="14"/>
      <c r="AJ7" s="14"/>
      <c r="AK7" s="14"/>
      <c r="AL7" s="14"/>
      <c r="AM7" s="16"/>
      <c r="AN7" s="14"/>
      <c r="AO7" s="16"/>
      <c r="AP7" s="5" t="s">
        <v>1577</v>
      </c>
    </row>
    <row r="8" customFormat="false" ht="15" hidden="false" customHeight="false" outlineLevel="0" collapsed="false">
      <c r="A8" s="14" t="s">
        <v>1578</v>
      </c>
      <c r="B8" s="14" t="s">
        <v>1579</v>
      </c>
      <c r="C8" s="14" t="s">
        <v>1052</v>
      </c>
      <c r="D8" s="14" t="s">
        <v>1198</v>
      </c>
      <c r="E8" s="14" t="s">
        <v>750</v>
      </c>
      <c r="F8" s="14" t="s">
        <v>659</v>
      </c>
      <c r="G8" s="14" t="s">
        <v>82</v>
      </c>
      <c r="H8" s="14" t="s">
        <v>1551</v>
      </c>
      <c r="I8" s="14" t="n">
        <v>14</v>
      </c>
      <c r="J8" s="14" t="s">
        <v>1571</v>
      </c>
      <c r="K8" s="14" t="s">
        <v>1572</v>
      </c>
      <c r="L8" s="14" t="s">
        <v>1573</v>
      </c>
      <c r="M8" s="14"/>
      <c r="N8" s="14"/>
      <c r="O8" s="14" t="s">
        <v>658</v>
      </c>
      <c r="P8" s="14" t="s">
        <v>659</v>
      </c>
      <c r="Q8" s="14"/>
      <c r="R8" s="14" t="s">
        <v>659</v>
      </c>
      <c r="S8" s="14" t="s">
        <v>659</v>
      </c>
      <c r="T8" s="14" t="s">
        <v>659</v>
      </c>
      <c r="U8" s="14" t="s">
        <v>658</v>
      </c>
      <c r="V8" s="14" t="s">
        <v>659</v>
      </c>
      <c r="W8" s="14" t="s">
        <v>659</v>
      </c>
      <c r="X8" s="14" t="s">
        <v>659</v>
      </c>
      <c r="Y8" s="14"/>
      <c r="Z8" s="14"/>
      <c r="AA8" s="16" t="n">
        <v>4</v>
      </c>
      <c r="AB8" s="14" t="s">
        <v>672</v>
      </c>
      <c r="AC8" s="16" t="n">
        <v>4</v>
      </c>
      <c r="AD8" s="14" t="s">
        <v>685</v>
      </c>
      <c r="AE8" s="14"/>
      <c r="AF8" s="14"/>
      <c r="AG8" s="14" t="s">
        <v>693</v>
      </c>
      <c r="AH8" s="14" t="s">
        <v>776</v>
      </c>
      <c r="AI8" s="14"/>
      <c r="AJ8" s="14"/>
      <c r="AK8" s="14"/>
      <c r="AL8" s="14"/>
      <c r="AM8" s="16"/>
      <c r="AN8" s="14"/>
      <c r="AO8" s="16"/>
      <c r="AP8" s="14" t="s">
        <v>1580</v>
      </c>
    </row>
    <row r="9" customFormat="false" ht="15" hidden="false" customHeight="false" outlineLevel="0" collapsed="false">
      <c r="A9" s="14" t="s">
        <v>1581</v>
      </c>
      <c r="B9" s="14" t="s">
        <v>1582</v>
      </c>
      <c r="C9" s="14" t="s">
        <v>1052</v>
      </c>
      <c r="D9" s="14" t="s">
        <v>1198</v>
      </c>
      <c r="E9" s="14" t="s">
        <v>750</v>
      </c>
      <c r="F9" s="14" t="s">
        <v>659</v>
      </c>
      <c r="G9" s="14" t="s">
        <v>82</v>
      </c>
      <c r="H9" s="14" t="s">
        <v>1551</v>
      </c>
      <c r="I9" s="14" t="n">
        <v>14</v>
      </c>
      <c r="J9" s="14" t="s">
        <v>1571</v>
      </c>
      <c r="K9" s="14" t="s">
        <v>1572</v>
      </c>
      <c r="L9" s="14" t="s">
        <v>1573</v>
      </c>
      <c r="M9" s="14"/>
      <c r="N9" s="14"/>
      <c r="O9" s="14" t="s">
        <v>658</v>
      </c>
      <c r="P9" s="14" t="s">
        <v>659</v>
      </c>
      <c r="Q9" s="14"/>
      <c r="R9" s="14" t="s">
        <v>659</v>
      </c>
      <c r="S9" s="14" t="s">
        <v>659</v>
      </c>
      <c r="T9" s="14" t="s">
        <v>659</v>
      </c>
      <c r="U9" s="14" t="s">
        <v>659</v>
      </c>
      <c r="V9" s="14" t="s">
        <v>659</v>
      </c>
      <c r="W9" s="14" t="s">
        <v>659</v>
      </c>
      <c r="X9" s="14" t="s">
        <v>659</v>
      </c>
      <c r="Y9" s="14"/>
      <c r="Z9" s="14"/>
      <c r="AA9" s="16" t="n">
        <v>4</v>
      </c>
      <c r="AB9" s="14" t="s">
        <v>674</v>
      </c>
      <c r="AC9" s="16" t="n">
        <v>5</v>
      </c>
      <c r="AD9" s="14" t="s">
        <v>685</v>
      </c>
      <c r="AE9" s="14"/>
      <c r="AF9" s="14"/>
      <c r="AG9" s="14" t="s">
        <v>693</v>
      </c>
      <c r="AH9" s="14" t="s">
        <v>776</v>
      </c>
      <c r="AI9" s="14"/>
      <c r="AJ9" s="14"/>
      <c r="AK9" s="14"/>
      <c r="AL9" s="14"/>
      <c r="AM9" s="16"/>
      <c r="AN9" s="14"/>
      <c r="AO9" s="16"/>
      <c r="AP9" s="14" t="s">
        <v>1583</v>
      </c>
    </row>
    <row r="10" customFormat="false" ht="35.05" hidden="false" customHeight="false" outlineLevel="0" collapsed="false">
      <c r="A10" s="14" t="s">
        <v>1584</v>
      </c>
      <c r="B10" s="14" t="s">
        <v>1585</v>
      </c>
      <c r="C10" s="14" t="s">
        <v>1052</v>
      </c>
      <c r="D10" s="14" t="s">
        <v>1198</v>
      </c>
      <c r="E10" s="14" t="s">
        <v>750</v>
      </c>
      <c r="F10" s="14" t="s">
        <v>659</v>
      </c>
      <c r="G10" s="14" t="s">
        <v>82</v>
      </c>
      <c r="H10" s="14" t="s">
        <v>1551</v>
      </c>
      <c r="I10" s="14" t="n">
        <v>14</v>
      </c>
      <c r="J10" s="14" t="s">
        <v>1571</v>
      </c>
      <c r="K10" s="14" t="s">
        <v>1572</v>
      </c>
      <c r="L10" s="14" t="s">
        <v>1573</v>
      </c>
      <c r="M10" s="14"/>
      <c r="N10" s="14"/>
      <c r="O10" s="14" t="s">
        <v>658</v>
      </c>
      <c r="P10" s="14" t="s">
        <v>658</v>
      </c>
      <c r="Q10" s="14"/>
      <c r="R10" s="14" t="s">
        <v>658</v>
      </c>
      <c r="S10" s="14" t="s">
        <v>658</v>
      </c>
      <c r="T10" s="14" t="s">
        <v>658</v>
      </c>
      <c r="U10" s="14" t="s">
        <v>658</v>
      </c>
      <c r="V10" s="14" t="s">
        <v>658</v>
      </c>
      <c r="W10" s="14" t="s">
        <v>659</v>
      </c>
      <c r="X10" s="14" t="s">
        <v>659</v>
      </c>
      <c r="Y10" s="14"/>
      <c r="Z10" s="14"/>
      <c r="AA10" s="16" t="n">
        <v>3.5</v>
      </c>
      <c r="AB10" s="14" t="s">
        <v>671</v>
      </c>
      <c r="AC10" s="16" t="n">
        <v>4.8</v>
      </c>
      <c r="AD10" s="14" t="s">
        <v>685</v>
      </c>
      <c r="AE10" s="14"/>
      <c r="AF10" s="14"/>
      <c r="AG10" s="14"/>
      <c r="AH10" s="14"/>
      <c r="AI10" s="14"/>
      <c r="AJ10" s="14"/>
      <c r="AK10" s="14"/>
      <c r="AL10" s="14"/>
      <c r="AM10" s="16"/>
      <c r="AN10" s="14"/>
      <c r="AO10" s="16"/>
      <c r="AP10" s="5" t="s">
        <v>1586</v>
      </c>
    </row>
    <row r="11" customFormat="false" ht="15" hidden="false" customHeight="false" outlineLevel="0" collapsed="false">
      <c r="A11" s="14" t="s">
        <v>1587</v>
      </c>
      <c r="B11" s="14" t="s">
        <v>1588</v>
      </c>
      <c r="C11" s="14" t="s">
        <v>1052</v>
      </c>
      <c r="D11" s="14" t="s">
        <v>1198</v>
      </c>
      <c r="E11" s="14" t="s">
        <v>750</v>
      </c>
      <c r="F11" s="14" t="s">
        <v>659</v>
      </c>
      <c r="G11" s="14" t="s">
        <v>82</v>
      </c>
      <c r="H11" s="14" t="s">
        <v>1551</v>
      </c>
      <c r="I11" s="14" t="n">
        <v>14</v>
      </c>
      <c r="J11" s="14" t="s">
        <v>1571</v>
      </c>
      <c r="K11" s="14" t="s">
        <v>1572</v>
      </c>
      <c r="L11" s="14" t="s">
        <v>1573</v>
      </c>
      <c r="M11" s="14"/>
      <c r="N11" s="14"/>
      <c r="O11" s="14" t="s">
        <v>659</v>
      </c>
      <c r="P11" s="14" t="s">
        <v>659</v>
      </c>
      <c r="Q11" s="14"/>
      <c r="R11" s="14" t="s">
        <v>659</v>
      </c>
      <c r="S11" s="14" t="s">
        <v>659</v>
      </c>
      <c r="T11" s="14" t="s">
        <v>659</v>
      </c>
      <c r="U11" s="14" t="s">
        <v>659</v>
      </c>
      <c r="V11" s="14" t="s">
        <v>659</v>
      </c>
      <c r="W11" s="14" t="s">
        <v>659</v>
      </c>
      <c r="X11" s="14" t="s">
        <v>659</v>
      </c>
      <c r="Y11" s="14"/>
      <c r="Z11" s="14"/>
      <c r="AA11" s="16"/>
      <c r="AB11" s="14"/>
      <c r="AC11" s="16"/>
      <c r="AD11" s="14" t="s">
        <v>685</v>
      </c>
      <c r="AE11" s="14"/>
      <c r="AF11" s="14"/>
      <c r="AG11" s="14"/>
      <c r="AH11" s="14"/>
      <c r="AI11" s="14"/>
      <c r="AJ11" s="14"/>
      <c r="AK11" s="14"/>
      <c r="AL11" s="14"/>
      <c r="AM11" s="16"/>
      <c r="AN11" s="14"/>
      <c r="AO11" s="16"/>
      <c r="AP11" s="14" t="s">
        <v>1589</v>
      </c>
    </row>
    <row r="12" customFormat="false" ht="15" hidden="false" customHeight="false" outlineLevel="0" collapsed="false">
      <c r="A12" s="14" t="s">
        <v>1590</v>
      </c>
      <c r="B12" s="14" t="s">
        <v>1591</v>
      </c>
      <c r="C12" s="14" t="s">
        <v>1052</v>
      </c>
      <c r="D12" s="14" t="s">
        <v>1198</v>
      </c>
      <c r="E12" s="14" t="s">
        <v>750</v>
      </c>
      <c r="F12" s="14" t="s">
        <v>659</v>
      </c>
      <c r="G12" s="14" t="s">
        <v>82</v>
      </c>
      <c r="H12" s="14" t="s">
        <v>1551</v>
      </c>
      <c r="I12" s="14" t="n">
        <v>14</v>
      </c>
      <c r="J12" s="14" t="s">
        <v>1571</v>
      </c>
      <c r="K12" s="14" t="s">
        <v>1572</v>
      </c>
      <c r="L12" s="14" t="s">
        <v>1573</v>
      </c>
      <c r="M12" s="14"/>
      <c r="N12" s="14"/>
      <c r="O12" s="14" t="s">
        <v>659</v>
      </c>
      <c r="P12" s="14" t="s">
        <v>659</v>
      </c>
      <c r="Q12" s="14"/>
      <c r="R12" s="14" t="s">
        <v>659</v>
      </c>
      <c r="S12" s="14" t="s">
        <v>659</v>
      </c>
      <c r="T12" s="14" t="s">
        <v>659</v>
      </c>
      <c r="U12" s="14" t="s">
        <v>659</v>
      </c>
      <c r="V12" s="14" t="s">
        <v>659</v>
      </c>
      <c r="W12" s="14" t="s">
        <v>659</v>
      </c>
      <c r="X12" s="14" t="s">
        <v>659</v>
      </c>
      <c r="Y12" s="14"/>
      <c r="Z12" s="14"/>
      <c r="AA12" s="16" t="n">
        <v>5</v>
      </c>
      <c r="AB12" s="14" t="s">
        <v>671</v>
      </c>
      <c r="AC12" s="16" t="n">
        <v>5</v>
      </c>
      <c r="AD12" s="14" t="s">
        <v>685</v>
      </c>
      <c r="AE12" s="14"/>
      <c r="AF12" s="14"/>
      <c r="AG12" s="14"/>
      <c r="AH12" s="14"/>
      <c r="AI12" s="14"/>
      <c r="AJ12" s="14"/>
      <c r="AK12" s="14"/>
      <c r="AL12" s="14"/>
      <c r="AM12" s="16"/>
      <c r="AN12" s="14"/>
      <c r="AO12" s="16"/>
      <c r="AP12" s="14" t="s">
        <v>1592</v>
      </c>
    </row>
    <row r="13" customFormat="false" ht="15" hidden="false" customHeight="false" outlineLevel="0" collapsed="false">
      <c r="A13" s="14" t="s">
        <v>1593</v>
      </c>
      <c r="B13" s="14" t="s">
        <v>1594</v>
      </c>
      <c r="C13" s="14" t="s">
        <v>1052</v>
      </c>
      <c r="D13" s="14" t="s">
        <v>1198</v>
      </c>
      <c r="E13" s="14" t="s">
        <v>750</v>
      </c>
      <c r="F13" s="14" t="s">
        <v>659</v>
      </c>
      <c r="G13" s="14" t="s">
        <v>82</v>
      </c>
      <c r="H13" s="14" t="s">
        <v>1551</v>
      </c>
      <c r="I13" s="14" t="n">
        <v>14</v>
      </c>
      <c r="J13" s="14" t="s">
        <v>1571</v>
      </c>
      <c r="K13" s="14" t="s">
        <v>1572</v>
      </c>
      <c r="L13" s="14" t="s">
        <v>1573</v>
      </c>
      <c r="M13" s="14"/>
      <c r="N13" s="14"/>
      <c r="O13" s="14" t="s">
        <v>659</v>
      </c>
      <c r="P13" s="14" t="s">
        <v>659</v>
      </c>
      <c r="Q13" s="14"/>
      <c r="R13" s="14" t="s">
        <v>659</v>
      </c>
      <c r="S13" s="14" t="s">
        <v>659</v>
      </c>
      <c r="T13" s="14" t="s">
        <v>659</v>
      </c>
      <c r="U13" s="14" t="s">
        <v>659</v>
      </c>
      <c r="V13" s="14" t="s">
        <v>659</v>
      </c>
      <c r="W13" s="14" t="s">
        <v>659</v>
      </c>
      <c r="X13" s="14" t="s">
        <v>659</v>
      </c>
      <c r="Y13" s="14"/>
      <c r="Z13" s="14"/>
      <c r="AA13" s="16"/>
      <c r="AB13" s="14"/>
      <c r="AC13" s="16"/>
      <c r="AD13" s="14" t="s">
        <v>685</v>
      </c>
      <c r="AE13" s="14"/>
      <c r="AF13" s="14"/>
      <c r="AG13" s="14"/>
      <c r="AH13" s="14"/>
      <c r="AI13" s="14"/>
      <c r="AJ13" s="14"/>
      <c r="AK13" s="14"/>
      <c r="AL13" s="14"/>
      <c r="AM13" s="16"/>
      <c r="AN13" s="14"/>
      <c r="AO13" s="16"/>
      <c r="AP13" s="14" t="s">
        <v>1589</v>
      </c>
    </row>
    <row r="14" customFormat="false" ht="15" hidden="false" customHeight="false" outlineLevel="0" collapsed="false">
      <c r="A14" s="14" t="s">
        <v>1595</v>
      </c>
      <c r="B14" s="14" t="s">
        <v>1596</v>
      </c>
      <c r="C14" s="14" t="s">
        <v>1052</v>
      </c>
      <c r="D14" s="14" t="s">
        <v>1198</v>
      </c>
      <c r="E14" s="14" t="s">
        <v>750</v>
      </c>
      <c r="F14" s="14" t="s">
        <v>659</v>
      </c>
      <c r="G14" s="14" t="s">
        <v>82</v>
      </c>
      <c r="H14" s="14" t="s">
        <v>1551</v>
      </c>
      <c r="I14" s="14" t="n">
        <v>14</v>
      </c>
      <c r="J14" s="14" t="s">
        <v>1571</v>
      </c>
      <c r="K14" s="14" t="s">
        <v>1572</v>
      </c>
      <c r="L14" s="14" t="s">
        <v>1573</v>
      </c>
      <c r="M14" s="14"/>
      <c r="N14" s="14"/>
      <c r="O14" s="14" t="s">
        <v>658</v>
      </c>
      <c r="P14" s="14" t="s">
        <v>659</v>
      </c>
      <c r="Q14" s="14"/>
      <c r="R14" s="14" t="s">
        <v>659</v>
      </c>
      <c r="S14" s="14" t="s">
        <v>659</v>
      </c>
      <c r="T14" s="14" t="s">
        <v>659</v>
      </c>
      <c r="U14" s="14" t="s">
        <v>658</v>
      </c>
      <c r="V14" s="14" t="s">
        <v>659</v>
      </c>
      <c r="W14" s="14" t="s">
        <v>659</v>
      </c>
      <c r="X14" s="14" t="s">
        <v>659</v>
      </c>
      <c r="Y14" s="14"/>
      <c r="Z14" s="14"/>
      <c r="AA14" s="16" t="n">
        <v>4.7</v>
      </c>
      <c r="AB14" s="14" t="s">
        <v>672</v>
      </c>
      <c r="AC14" s="16" t="n">
        <v>4.7</v>
      </c>
      <c r="AD14" s="14" t="s">
        <v>685</v>
      </c>
      <c r="AE14" s="14"/>
      <c r="AF14" s="14"/>
      <c r="AG14" s="14"/>
      <c r="AH14" s="14"/>
      <c r="AI14" s="14"/>
      <c r="AJ14" s="14"/>
      <c r="AK14" s="14"/>
      <c r="AL14" s="14"/>
      <c r="AM14" s="16"/>
      <c r="AN14" s="14"/>
      <c r="AO14" s="16"/>
      <c r="AP14" s="5" t="s">
        <v>1597</v>
      </c>
    </row>
    <row r="15" customFormat="false" ht="23.85" hidden="false" customHeight="false" outlineLevel="0" collapsed="false">
      <c r="A15" s="14" t="s">
        <v>1598</v>
      </c>
      <c r="B15" s="14" t="s">
        <v>1599</v>
      </c>
      <c r="C15" s="14" t="s">
        <v>1052</v>
      </c>
      <c r="D15" s="14" t="s">
        <v>1198</v>
      </c>
      <c r="E15" s="14" t="s">
        <v>750</v>
      </c>
      <c r="F15" s="14" t="s">
        <v>659</v>
      </c>
      <c r="G15" s="14" t="s">
        <v>82</v>
      </c>
      <c r="H15" s="14" t="s">
        <v>1551</v>
      </c>
      <c r="I15" s="14" t="n">
        <v>14</v>
      </c>
      <c r="J15" s="14" t="s">
        <v>1600</v>
      </c>
      <c r="K15" s="14" t="s">
        <v>1572</v>
      </c>
      <c r="L15" s="14" t="s">
        <v>1601</v>
      </c>
      <c r="M15" s="14"/>
      <c r="N15" s="14"/>
      <c r="O15" s="14" t="s">
        <v>658</v>
      </c>
      <c r="P15" s="14" t="s">
        <v>658</v>
      </c>
      <c r="Q15" s="14"/>
      <c r="R15" s="14" t="s">
        <v>658</v>
      </c>
      <c r="S15" s="14"/>
      <c r="T15" s="14"/>
      <c r="U15" s="14" t="s">
        <v>658</v>
      </c>
      <c r="V15" s="14"/>
      <c r="W15" s="14"/>
      <c r="X15" s="14"/>
      <c r="Y15" s="14"/>
      <c r="Z15" s="14"/>
      <c r="AA15" s="16" t="n">
        <v>4.5</v>
      </c>
      <c r="AB15" s="14"/>
      <c r="AC15" s="16"/>
      <c r="AD15" s="14" t="s">
        <v>685</v>
      </c>
      <c r="AE15" s="14"/>
      <c r="AF15" s="14"/>
      <c r="AG15" s="14"/>
      <c r="AH15" s="14"/>
      <c r="AI15" s="14"/>
      <c r="AJ15" s="14"/>
      <c r="AK15" s="14"/>
      <c r="AL15" s="14"/>
      <c r="AM15" s="16"/>
      <c r="AN15" s="14"/>
      <c r="AO15" s="16"/>
      <c r="AP15" s="5" t="s">
        <v>1602</v>
      </c>
    </row>
    <row r="16" customFormat="false" ht="23.85" hidden="false" customHeight="false" outlineLevel="0" collapsed="false">
      <c r="A16" s="14" t="s">
        <v>1603</v>
      </c>
      <c r="B16" s="14" t="s">
        <v>1604</v>
      </c>
      <c r="C16" s="14" t="s">
        <v>1052</v>
      </c>
      <c r="D16" s="14" t="s">
        <v>1198</v>
      </c>
      <c r="E16" s="14" t="s">
        <v>750</v>
      </c>
      <c r="F16" s="14" t="s">
        <v>659</v>
      </c>
      <c r="G16" s="14" t="s">
        <v>82</v>
      </c>
      <c r="H16" s="14" t="s">
        <v>1551</v>
      </c>
      <c r="I16" s="14" t="n">
        <v>14</v>
      </c>
      <c r="J16" s="14" t="s">
        <v>1605</v>
      </c>
      <c r="K16" s="14" t="s">
        <v>1572</v>
      </c>
      <c r="L16" s="14" t="s">
        <v>1604</v>
      </c>
      <c r="M16" s="14"/>
      <c r="N16" s="14"/>
      <c r="O16" s="14" t="s">
        <v>658</v>
      </c>
      <c r="P16" s="14" t="s">
        <v>658</v>
      </c>
      <c r="Q16" s="14"/>
      <c r="R16" s="14" t="s">
        <v>658</v>
      </c>
      <c r="S16" s="14"/>
      <c r="T16" s="14"/>
      <c r="U16" s="14"/>
      <c r="V16" s="14"/>
      <c r="W16" s="14"/>
      <c r="X16" s="14"/>
      <c r="Y16" s="14"/>
      <c r="Z16" s="14"/>
      <c r="AA16" s="16" t="n">
        <v>4.5</v>
      </c>
      <c r="AB16" s="14"/>
      <c r="AC16" s="16"/>
      <c r="AD16" s="14" t="s">
        <v>685</v>
      </c>
      <c r="AE16" s="14"/>
      <c r="AF16" s="14"/>
      <c r="AG16" s="14"/>
      <c r="AH16" s="14"/>
      <c r="AI16" s="14"/>
      <c r="AJ16" s="14"/>
      <c r="AK16" s="14"/>
      <c r="AL16" s="14"/>
      <c r="AM16" s="16"/>
      <c r="AN16" s="14"/>
      <c r="AO16" s="16"/>
      <c r="AP16" s="5" t="s">
        <v>1606</v>
      </c>
    </row>
    <row r="17" customFormat="false" ht="15" hidden="false" customHeight="false" outlineLevel="0" collapsed="false">
      <c r="A17" s="14" t="s">
        <v>1607</v>
      </c>
      <c r="B17" s="14" t="s">
        <v>1608</v>
      </c>
      <c r="C17" s="14" t="s">
        <v>1052</v>
      </c>
      <c r="D17" s="14" t="s">
        <v>1198</v>
      </c>
      <c r="E17" s="14" t="s">
        <v>750</v>
      </c>
      <c r="F17" s="14" t="s">
        <v>659</v>
      </c>
      <c r="G17" s="14" t="s">
        <v>82</v>
      </c>
      <c r="H17" s="14" t="s">
        <v>1551</v>
      </c>
      <c r="I17" s="14" t="n">
        <v>14</v>
      </c>
      <c r="J17" s="14" t="s">
        <v>1609</v>
      </c>
      <c r="K17" s="14" t="s">
        <v>1572</v>
      </c>
      <c r="L17" s="14" t="s">
        <v>1608</v>
      </c>
      <c r="M17" s="14"/>
      <c r="N17" s="14"/>
      <c r="O17" s="14"/>
      <c r="P17" s="14"/>
      <c r="Q17" s="14"/>
      <c r="R17" s="14"/>
      <c r="S17" s="14"/>
      <c r="T17" s="14"/>
      <c r="U17" s="14"/>
      <c r="V17" s="14"/>
      <c r="W17" s="14"/>
      <c r="X17" s="14"/>
      <c r="Y17" s="14"/>
      <c r="Z17" s="14"/>
      <c r="AA17" s="16"/>
      <c r="AB17" s="14"/>
      <c r="AC17" s="16"/>
      <c r="AD17" s="14" t="s">
        <v>685</v>
      </c>
      <c r="AE17" s="14"/>
      <c r="AF17" s="14"/>
      <c r="AG17" s="14"/>
      <c r="AH17" s="14"/>
      <c r="AI17" s="14"/>
      <c r="AJ17" s="14"/>
      <c r="AK17" s="14"/>
      <c r="AL17" s="14"/>
      <c r="AM17" s="16"/>
      <c r="AN17" s="14"/>
      <c r="AO17" s="16"/>
      <c r="AP17" s="14"/>
    </row>
    <row r="18" customFormat="false" ht="15" hidden="false" customHeight="false" outlineLevel="0" collapsed="false">
      <c r="A18" s="14" t="s">
        <v>1610</v>
      </c>
      <c r="B18" s="14" t="s">
        <v>1611</v>
      </c>
      <c r="C18" s="14" t="s">
        <v>1052</v>
      </c>
      <c r="D18" s="14" t="s">
        <v>1200</v>
      </c>
      <c r="E18" s="14" t="s">
        <v>750</v>
      </c>
      <c r="F18" s="14" t="s">
        <v>659</v>
      </c>
      <c r="G18" s="14" t="s">
        <v>82</v>
      </c>
      <c r="H18" s="14" t="s">
        <v>1551</v>
      </c>
      <c r="I18" s="14" t="n">
        <v>14</v>
      </c>
      <c r="J18" s="14" t="s">
        <v>1571</v>
      </c>
      <c r="K18" s="14" t="s">
        <v>1572</v>
      </c>
      <c r="L18" s="14"/>
      <c r="M18" s="14"/>
      <c r="N18" s="14"/>
      <c r="O18" s="14" t="s">
        <v>658</v>
      </c>
      <c r="P18" s="14" t="s">
        <v>658</v>
      </c>
      <c r="Q18" s="14"/>
      <c r="R18" s="14"/>
      <c r="S18" s="14" t="s">
        <v>659</v>
      </c>
      <c r="T18" s="14"/>
      <c r="U18" s="14" t="s">
        <v>658</v>
      </c>
      <c r="V18" s="14" t="s">
        <v>658</v>
      </c>
      <c r="W18" s="14"/>
      <c r="X18" s="14" t="s">
        <v>658</v>
      </c>
      <c r="Y18" s="14"/>
      <c r="Z18" s="14"/>
      <c r="AA18" s="16"/>
      <c r="AB18" s="14"/>
      <c r="AC18" s="16"/>
      <c r="AD18" s="14"/>
      <c r="AE18" s="14"/>
      <c r="AF18" s="14"/>
      <c r="AG18" s="14"/>
      <c r="AH18" s="14"/>
      <c r="AI18" s="14"/>
      <c r="AJ18" s="14"/>
      <c r="AK18" s="14"/>
      <c r="AL18" s="14"/>
      <c r="AM18" s="16"/>
      <c r="AN18" s="14"/>
      <c r="AO18" s="16"/>
      <c r="AP18" s="14" t="s">
        <v>1612</v>
      </c>
    </row>
    <row r="19" customFormat="false" ht="15" hidden="false" customHeight="false" outlineLevel="0" collapsed="false">
      <c r="A19" s="14" t="s">
        <v>1613</v>
      </c>
      <c r="B19" s="14" t="s">
        <v>1614</v>
      </c>
      <c r="C19" s="14" t="s">
        <v>1052</v>
      </c>
      <c r="D19" s="14" t="s">
        <v>1200</v>
      </c>
      <c r="E19" s="14" t="s">
        <v>750</v>
      </c>
      <c r="F19" s="14" t="s">
        <v>659</v>
      </c>
      <c r="G19" s="14" t="s">
        <v>82</v>
      </c>
      <c r="H19" s="14" t="s">
        <v>1551</v>
      </c>
      <c r="I19" s="14" t="n">
        <v>14</v>
      </c>
      <c r="J19" s="14"/>
      <c r="K19" s="14"/>
      <c r="L19" s="14"/>
      <c r="M19" s="14"/>
      <c r="N19" s="14"/>
      <c r="O19" s="14"/>
      <c r="P19" s="14"/>
      <c r="Q19" s="14"/>
      <c r="R19" s="14"/>
      <c r="S19" s="14"/>
      <c r="T19" s="14"/>
      <c r="U19" s="14"/>
      <c r="V19" s="14"/>
      <c r="W19" s="14"/>
      <c r="X19" s="14"/>
      <c r="Y19" s="14"/>
      <c r="Z19" s="14"/>
      <c r="AA19" s="16"/>
      <c r="AB19" s="14"/>
      <c r="AC19" s="16"/>
      <c r="AD19" s="14"/>
      <c r="AE19" s="14"/>
      <c r="AF19" s="14"/>
      <c r="AG19" s="14"/>
      <c r="AH19" s="14"/>
      <c r="AI19" s="14"/>
      <c r="AJ19" s="14"/>
      <c r="AK19" s="14"/>
      <c r="AL19" s="14"/>
      <c r="AM19" s="16"/>
      <c r="AN19" s="14"/>
      <c r="AO19" s="16"/>
      <c r="AP19" s="14"/>
    </row>
    <row r="20" customFormat="false" ht="35.05" hidden="false" customHeight="false" outlineLevel="0" collapsed="false">
      <c r="A20" s="14" t="s">
        <v>1615</v>
      </c>
      <c r="B20" s="14" t="s">
        <v>1570</v>
      </c>
      <c r="C20" s="14" t="s">
        <v>1049</v>
      </c>
      <c r="D20" s="14" t="s">
        <v>1196</v>
      </c>
      <c r="E20" s="14" t="s">
        <v>750</v>
      </c>
      <c r="F20" s="14" t="s">
        <v>659</v>
      </c>
      <c r="G20" s="14" t="s">
        <v>82</v>
      </c>
      <c r="H20" s="14" t="s">
        <v>1551</v>
      </c>
      <c r="I20" s="14" t="n">
        <v>14</v>
      </c>
      <c r="J20" s="14" t="s">
        <v>1616</v>
      </c>
      <c r="K20" s="14" t="s">
        <v>1617</v>
      </c>
      <c r="L20" s="14" t="s">
        <v>1618</v>
      </c>
      <c r="M20" s="14"/>
      <c r="N20" s="14"/>
      <c r="O20" s="14" t="s">
        <v>658</v>
      </c>
      <c r="P20" s="14" t="s">
        <v>658</v>
      </c>
      <c r="Q20" s="14"/>
      <c r="R20" s="14" t="s">
        <v>658</v>
      </c>
      <c r="S20" s="14" t="s">
        <v>659</v>
      </c>
      <c r="T20" s="14" t="s">
        <v>659</v>
      </c>
      <c r="U20" s="14" t="s">
        <v>659</v>
      </c>
      <c r="V20" s="14" t="s">
        <v>659</v>
      </c>
      <c r="W20" s="14" t="s">
        <v>659</v>
      </c>
      <c r="X20" s="14" t="s">
        <v>658</v>
      </c>
      <c r="Y20" s="14" t="s">
        <v>658</v>
      </c>
      <c r="Z20" s="14" t="s">
        <v>658</v>
      </c>
      <c r="AA20" s="16" t="n">
        <v>3.5</v>
      </c>
      <c r="AB20" s="14" t="s">
        <v>673</v>
      </c>
      <c r="AC20" s="16"/>
      <c r="AD20" s="14"/>
      <c r="AE20" s="14" t="s">
        <v>687</v>
      </c>
      <c r="AF20" s="14" t="s">
        <v>691</v>
      </c>
      <c r="AG20" s="14" t="s">
        <v>693</v>
      </c>
      <c r="AH20" s="14" t="s">
        <v>776</v>
      </c>
      <c r="AI20" s="14"/>
      <c r="AJ20" s="14"/>
      <c r="AK20" s="14"/>
      <c r="AL20" s="14"/>
      <c r="AM20" s="16"/>
      <c r="AN20" s="14"/>
      <c r="AO20" s="16"/>
      <c r="AP20" s="5" t="s">
        <v>1619</v>
      </c>
    </row>
    <row r="21" customFormat="false" ht="35.05" hidden="false" customHeight="false" outlineLevel="0" collapsed="false">
      <c r="A21" s="14" t="s">
        <v>1620</v>
      </c>
      <c r="B21" s="14" t="s">
        <v>1621</v>
      </c>
      <c r="C21" s="14" t="s">
        <v>1049</v>
      </c>
      <c r="D21" s="14" t="s">
        <v>1196</v>
      </c>
      <c r="E21" s="14" t="s">
        <v>750</v>
      </c>
      <c r="F21" s="14" t="s">
        <v>659</v>
      </c>
      <c r="G21" s="14" t="s">
        <v>82</v>
      </c>
      <c r="H21" s="14" t="s">
        <v>1551</v>
      </c>
      <c r="I21" s="14" t="n">
        <v>14</v>
      </c>
      <c r="J21" s="14" t="s">
        <v>1622</v>
      </c>
      <c r="K21" s="14" t="s">
        <v>1617</v>
      </c>
      <c r="L21" s="14" t="s">
        <v>1618</v>
      </c>
      <c r="M21" s="14"/>
      <c r="N21" s="14"/>
      <c r="O21" s="14" t="s">
        <v>658</v>
      </c>
      <c r="P21" s="14" t="s">
        <v>658</v>
      </c>
      <c r="Q21" s="14"/>
      <c r="R21" s="14" t="s">
        <v>658</v>
      </c>
      <c r="S21" s="14" t="s">
        <v>659</v>
      </c>
      <c r="T21" s="14" t="s">
        <v>659</v>
      </c>
      <c r="U21" s="14" t="s">
        <v>659</v>
      </c>
      <c r="V21" s="14" t="s">
        <v>659</v>
      </c>
      <c r="W21" s="14" t="s">
        <v>659</v>
      </c>
      <c r="X21" s="14" t="s">
        <v>659</v>
      </c>
      <c r="Y21" s="14" t="s">
        <v>658</v>
      </c>
      <c r="Z21" s="14" t="s">
        <v>658</v>
      </c>
      <c r="AA21" s="16" t="n">
        <v>4</v>
      </c>
      <c r="AB21" s="14" t="s">
        <v>1623</v>
      </c>
      <c r="AC21" s="16"/>
      <c r="AD21" s="14"/>
      <c r="AE21" s="14" t="s">
        <v>687</v>
      </c>
      <c r="AF21" s="14" t="s">
        <v>691</v>
      </c>
      <c r="AG21" s="14" t="s">
        <v>693</v>
      </c>
      <c r="AH21" s="14" t="s">
        <v>776</v>
      </c>
      <c r="AI21" s="14"/>
      <c r="AJ21" s="14"/>
      <c r="AK21" s="14"/>
      <c r="AL21" s="14"/>
      <c r="AM21" s="16"/>
      <c r="AN21" s="14"/>
      <c r="AO21" s="16"/>
      <c r="AP21" s="5" t="s">
        <v>1624</v>
      </c>
    </row>
    <row r="22" customFormat="false" ht="35.05" hidden="false" customHeight="false" outlineLevel="0" collapsed="false">
      <c r="A22" s="14" t="s">
        <v>1625</v>
      </c>
      <c r="B22" s="14" t="s">
        <v>1626</v>
      </c>
      <c r="C22" s="14" t="s">
        <v>1049</v>
      </c>
      <c r="D22" s="14" t="s">
        <v>1196</v>
      </c>
      <c r="E22" s="14" t="s">
        <v>750</v>
      </c>
      <c r="F22" s="14" t="s">
        <v>659</v>
      </c>
      <c r="G22" s="14" t="s">
        <v>82</v>
      </c>
      <c r="H22" s="14" t="s">
        <v>1551</v>
      </c>
      <c r="I22" s="14" t="n">
        <v>14</v>
      </c>
      <c r="J22" s="14" t="s">
        <v>1627</v>
      </c>
      <c r="K22" s="14" t="s">
        <v>1617</v>
      </c>
      <c r="L22" s="14" t="s">
        <v>1628</v>
      </c>
      <c r="M22" s="14"/>
      <c r="N22" s="14"/>
      <c r="O22" s="14" t="s">
        <v>658</v>
      </c>
      <c r="P22" s="14" t="s">
        <v>658</v>
      </c>
      <c r="Q22" s="14"/>
      <c r="R22" s="14" t="s">
        <v>658</v>
      </c>
      <c r="S22" s="14" t="s">
        <v>659</v>
      </c>
      <c r="T22" s="14" t="s">
        <v>659</v>
      </c>
      <c r="U22" s="14" t="s">
        <v>659</v>
      </c>
      <c r="V22" s="14" t="s">
        <v>659</v>
      </c>
      <c r="W22" s="14" t="s">
        <v>659</v>
      </c>
      <c r="X22" s="14" t="s">
        <v>659</v>
      </c>
      <c r="Y22" s="14" t="s">
        <v>658</v>
      </c>
      <c r="Z22" s="14" t="s">
        <v>659</v>
      </c>
      <c r="AA22" s="16" t="n">
        <v>4</v>
      </c>
      <c r="AB22" s="14" t="s">
        <v>1623</v>
      </c>
      <c r="AC22" s="16"/>
      <c r="AD22" s="14"/>
      <c r="AE22" s="14" t="s">
        <v>687</v>
      </c>
      <c r="AF22" s="14" t="s">
        <v>691</v>
      </c>
      <c r="AG22" s="14" t="s">
        <v>693</v>
      </c>
      <c r="AH22" s="14" t="s">
        <v>776</v>
      </c>
      <c r="AI22" s="14"/>
      <c r="AJ22" s="14"/>
      <c r="AK22" s="14"/>
      <c r="AL22" s="14"/>
      <c r="AM22" s="16"/>
      <c r="AN22" s="14"/>
      <c r="AO22" s="16"/>
      <c r="AP22" s="5" t="s">
        <v>1629</v>
      </c>
    </row>
    <row r="23" customFormat="false" ht="35.05" hidden="false" customHeight="false" outlineLevel="0" collapsed="false">
      <c r="A23" s="14" t="s">
        <v>1630</v>
      </c>
      <c r="B23" s="14" t="s">
        <v>1631</v>
      </c>
      <c r="C23" s="14" t="s">
        <v>1049</v>
      </c>
      <c r="D23" s="14" t="s">
        <v>1196</v>
      </c>
      <c r="E23" s="14" t="s">
        <v>750</v>
      </c>
      <c r="F23" s="14" t="s">
        <v>659</v>
      </c>
      <c r="G23" s="14" t="s">
        <v>82</v>
      </c>
      <c r="H23" s="14" t="s">
        <v>1551</v>
      </c>
      <c r="I23" s="14" t="n">
        <v>14</v>
      </c>
      <c r="J23" s="14" t="s">
        <v>1632</v>
      </c>
      <c r="K23" s="14" t="s">
        <v>1617</v>
      </c>
      <c r="L23" s="14" t="s">
        <v>1628</v>
      </c>
      <c r="M23" s="14"/>
      <c r="N23" s="14"/>
      <c r="O23" s="14" t="s">
        <v>658</v>
      </c>
      <c r="P23" s="14" t="s">
        <v>658</v>
      </c>
      <c r="Q23" s="14"/>
      <c r="R23" s="14" t="s">
        <v>658</v>
      </c>
      <c r="S23" s="14" t="s">
        <v>658</v>
      </c>
      <c r="T23" s="14" t="s">
        <v>658</v>
      </c>
      <c r="U23" s="14" t="s">
        <v>659</v>
      </c>
      <c r="V23" s="14" t="s">
        <v>659</v>
      </c>
      <c r="W23" s="14" t="s">
        <v>659</v>
      </c>
      <c r="X23" s="14" t="s">
        <v>659</v>
      </c>
      <c r="Y23" s="14" t="s">
        <v>659</v>
      </c>
      <c r="Z23" s="14" t="s">
        <v>659</v>
      </c>
      <c r="AA23" s="16" t="n">
        <v>4</v>
      </c>
      <c r="AB23" s="14" t="s">
        <v>671</v>
      </c>
      <c r="AC23" s="16"/>
      <c r="AD23" s="14"/>
      <c r="AE23" s="14" t="s">
        <v>687</v>
      </c>
      <c r="AF23" s="14" t="s">
        <v>691</v>
      </c>
      <c r="AG23" s="14" t="s">
        <v>693</v>
      </c>
      <c r="AH23" s="14" t="s">
        <v>776</v>
      </c>
      <c r="AI23" s="14"/>
      <c r="AJ23" s="14"/>
      <c r="AK23" s="14"/>
      <c r="AL23" s="14"/>
      <c r="AM23" s="16"/>
      <c r="AN23" s="14"/>
      <c r="AO23" s="16"/>
      <c r="AP23" s="5" t="s">
        <v>1633</v>
      </c>
    </row>
    <row r="24" customFormat="false" ht="46.25" hidden="false" customHeight="false" outlineLevel="0" collapsed="false">
      <c r="A24" s="14" t="s">
        <v>1634</v>
      </c>
      <c r="B24" s="14" t="s">
        <v>1635</v>
      </c>
      <c r="C24" s="14" t="s">
        <v>1049</v>
      </c>
      <c r="D24" s="14" t="s">
        <v>1196</v>
      </c>
      <c r="E24" s="14" t="s">
        <v>750</v>
      </c>
      <c r="F24" s="14" t="s">
        <v>659</v>
      </c>
      <c r="G24" s="14" t="s">
        <v>82</v>
      </c>
      <c r="H24" s="14" t="s">
        <v>1551</v>
      </c>
      <c r="I24" s="14" t="n">
        <v>14</v>
      </c>
      <c r="J24" s="14" t="s">
        <v>1636</v>
      </c>
      <c r="K24" s="14" t="s">
        <v>1617</v>
      </c>
      <c r="L24" s="14" t="s">
        <v>1618</v>
      </c>
      <c r="M24" s="14"/>
      <c r="N24" s="14"/>
      <c r="O24" s="14" t="s">
        <v>658</v>
      </c>
      <c r="P24" s="14" t="s">
        <v>658</v>
      </c>
      <c r="Q24" s="14"/>
      <c r="R24" s="14" t="s">
        <v>658</v>
      </c>
      <c r="S24" s="14" t="s">
        <v>659</v>
      </c>
      <c r="T24" s="14" t="s">
        <v>659</v>
      </c>
      <c r="U24" s="14" t="s">
        <v>659</v>
      </c>
      <c r="V24" s="14" t="s">
        <v>659</v>
      </c>
      <c r="W24" s="14" t="s">
        <v>659</v>
      </c>
      <c r="X24" s="14" t="s">
        <v>659</v>
      </c>
      <c r="Y24" s="14" t="s">
        <v>658</v>
      </c>
      <c r="Z24" s="14" t="s">
        <v>658</v>
      </c>
      <c r="AA24" s="16" t="n">
        <v>4.5</v>
      </c>
      <c r="AB24" s="14" t="s">
        <v>1623</v>
      </c>
      <c r="AC24" s="16"/>
      <c r="AD24" s="14"/>
      <c r="AE24" s="14" t="s">
        <v>687</v>
      </c>
      <c r="AF24" s="14" t="s">
        <v>691</v>
      </c>
      <c r="AG24" s="14" t="s">
        <v>693</v>
      </c>
      <c r="AH24" s="14" t="s">
        <v>776</v>
      </c>
      <c r="AI24" s="14"/>
      <c r="AJ24" s="14"/>
      <c r="AK24" s="14"/>
      <c r="AL24" s="14"/>
      <c r="AM24" s="16"/>
      <c r="AN24" s="14"/>
      <c r="AO24" s="16"/>
      <c r="AP24" s="5" t="s">
        <v>1637</v>
      </c>
    </row>
    <row r="25" customFormat="false" ht="15" hidden="false" customHeight="false" outlineLevel="0" collapsed="false">
      <c r="A25" s="14" t="s">
        <v>1638</v>
      </c>
      <c r="B25" s="14" t="s">
        <v>1639</v>
      </c>
      <c r="C25" s="14" t="s">
        <v>1049</v>
      </c>
      <c r="D25" s="14" t="s">
        <v>1196</v>
      </c>
      <c r="E25" s="14" t="s">
        <v>750</v>
      </c>
      <c r="F25" s="14" t="s">
        <v>659</v>
      </c>
      <c r="G25" s="14" t="s">
        <v>82</v>
      </c>
      <c r="H25" s="14" t="s">
        <v>1551</v>
      </c>
      <c r="I25" s="14" t="n">
        <v>14</v>
      </c>
      <c r="J25" s="14" t="s">
        <v>1640</v>
      </c>
      <c r="K25" s="14" t="s">
        <v>1617</v>
      </c>
      <c r="L25" s="14" t="s">
        <v>1641</v>
      </c>
      <c r="M25" s="14"/>
      <c r="N25" s="14"/>
      <c r="O25" s="14" t="s">
        <v>659</v>
      </c>
      <c r="P25" s="14" t="s">
        <v>659</v>
      </c>
      <c r="Q25" s="14"/>
      <c r="R25" s="14" t="s">
        <v>659</v>
      </c>
      <c r="S25" s="14" t="s">
        <v>659</v>
      </c>
      <c r="T25" s="14" t="s">
        <v>659</v>
      </c>
      <c r="U25" s="14" t="s">
        <v>659</v>
      </c>
      <c r="V25" s="14" t="s">
        <v>659</v>
      </c>
      <c r="W25" s="14" t="s">
        <v>659</v>
      </c>
      <c r="X25" s="14" t="s">
        <v>659</v>
      </c>
      <c r="Y25" s="14" t="s">
        <v>659</v>
      </c>
      <c r="Z25" s="14" t="s">
        <v>659</v>
      </c>
      <c r="AA25" s="16" t="n">
        <v>0</v>
      </c>
      <c r="AB25" s="14" t="s">
        <v>1623</v>
      </c>
      <c r="AC25" s="16"/>
      <c r="AD25" s="14"/>
      <c r="AE25" s="14" t="s">
        <v>687</v>
      </c>
      <c r="AF25" s="14" t="s">
        <v>691</v>
      </c>
      <c r="AG25" s="14" t="s">
        <v>693</v>
      </c>
      <c r="AH25" s="14" t="s">
        <v>776</v>
      </c>
      <c r="AI25" s="14"/>
      <c r="AJ25" s="14"/>
      <c r="AK25" s="14"/>
      <c r="AL25" s="14"/>
      <c r="AM25" s="16"/>
      <c r="AN25" s="14"/>
      <c r="AO25" s="16"/>
      <c r="AP25" s="5" t="s">
        <v>1642</v>
      </c>
    </row>
    <row r="26" customFormat="false" ht="23.85" hidden="false" customHeight="false" outlineLevel="0" collapsed="false">
      <c r="A26" s="14" t="s">
        <v>1643</v>
      </c>
      <c r="B26" s="14" t="s">
        <v>1644</v>
      </c>
      <c r="C26" s="14" t="s">
        <v>1049</v>
      </c>
      <c r="D26" s="14" t="s">
        <v>1196</v>
      </c>
      <c r="E26" s="14" t="s">
        <v>750</v>
      </c>
      <c r="F26" s="14" t="s">
        <v>659</v>
      </c>
      <c r="G26" s="14" t="s">
        <v>82</v>
      </c>
      <c r="H26" s="14" t="s">
        <v>1551</v>
      </c>
      <c r="I26" s="14" t="n">
        <v>14</v>
      </c>
      <c r="J26" s="14" t="s">
        <v>1645</v>
      </c>
      <c r="K26" s="14" t="s">
        <v>1617</v>
      </c>
      <c r="L26" s="5" t="s">
        <v>1646</v>
      </c>
      <c r="M26" s="14"/>
      <c r="N26" s="14"/>
      <c r="O26" s="14" t="s">
        <v>659</v>
      </c>
      <c r="P26" s="14" t="s">
        <v>659</v>
      </c>
      <c r="Q26" s="14"/>
      <c r="R26" s="14" t="s">
        <v>659</v>
      </c>
      <c r="S26" s="14"/>
      <c r="T26" s="14"/>
      <c r="U26" s="14"/>
      <c r="V26" s="14"/>
      <c r="W26" s="14"/>
      <c r="X26" s="14"/>
      <c r="Y26" s="14" t="s">
        <v>659</v>
      </c>
      <c r="Z26" s="14" t="s">
        <v>659</v>
      </c>
      <c r="AA26" s="16" t="n">
        <v>0</v>
      </c>
      <c r="AB26" s="14"/>
      <c r="AC26" s="16"/>
      <c r="AD26" s="14"/>
      <c r="AE26" s="14" t="s">
        <v>687</v>
      </c>
      <c r="AF26" s="14" t="s">
        <v>691</v>
      </c>
      <c r="AG26" s="14" t="s">
        <v>693</v>
      </c>
      <c r="AH26" s="14" t="s">
        <v>776</v>
      </c>
      <c r="AI26" s="14"/>
      <c r="AJ26" s="14"/>
      <c r="AK26" s="14"/>
      <c r="AL26" s="14"/>
      <c r="AM26" s="16"/>
      <c r="AN26" s="14"/>
      <c r="AO26" s="16"/>
      <c r="AP26" s="5" t="s">
        <v>1647</v>
      </c>
    </row>
    <row r="27" customFormat="false" ht="23.85" hidden="false" customHeight="false" outlineLevel="0" collapsed="false">
      <c r="A27" s="14" t="s">
        <v>1648</v>
      </c>
      <c r="B27" s="14" t="s">
        <v>1649</v>
      </c>
      <c r="C27" s="14" t="s">
        <v>1049</v>
      </c>
      <c r="D27" s="14" t="s">
        <v>1196</v>
      </c>
      <c r="E27" s="14" t="s">
        <v>750</v>
      </c>
      <c r="F27" s="14" t="s">
        <v>659</v>
      </c>
      <c r="G27" s="14" t="s">
        <v>82</v>
      </c>
      <c r="H27" s="14" t="s">
        <v>1551</v>
      </c>
      <c r="I27" s="14" t="n">
        <v>14</v>
      </c>
      <c r="J27" s="14" t="s">
        <v>1650</v>
      </c>
      <c r="K27" s="14" t="s">
        <v>1617</v>
      </c>
      <c r="L27" s="14" t="s">
        <v>1618</v>
      </c>
      <c r="M27" s="14"/>
      <c r="N27" s="14"/>
      <c r="O27" s="14" t="s">
        <v>658</v>
      </c>
      <c r="P27" s="14" t="s">
        <v>658</v>
      </c>
      <c r="Q27" s="14"/>
      <c r="R27" s="14" t="s">
        <v>659</v>
      </c>
      <c r="S27" s="14" t="s">
        <v>659</v>
      </c>
      <c r="T27" s="14" t="s">
        <v>659</v>
      </c>
      <c r="U27" s="14" t="s">
        <v>658</v>
      </c>
      <c r="V27" s="14" t="s">
        <v>658</v>
      </c>
      <c r="W27" s="14" t="s">
        <v>658</v>
      </c>
      <c r="X27" s="14" t="s">
        <v>659</v>
      </c>
      <c r="Y27" s="14" t="s">
        <v>658</v>
      </c>
      <c r="Z27" s="14" t="s">
        <v>658</v>
      </c>
      <c r="AA27" s="16" t="n">
        <v>3.99</v>
      </c>
      <c r="AB27" s="14" t="s">
        <v>672</v>
      </c>
      <c r="AC27" s="16"/>
      <c r="AD27" s="14"/>
      <c r="AE27" s="14" t="s">
        <v>687</v>
      </c>
      <c r="AF27" s="14" t="s">
        <v>691</v>
      </c>
      <c r="AG27" s="14" t="s">
        <v>693</v>
      </c>
      <c r="AH27" s="14" t="s">
        <v>776</v>
      </c>
      <c r="AI27" s="14"/>
      <c r="AJ27" s="14"/>
      <c r="AK27" s="14"/>
      <c r="AL27" s="14"/>
      <c r="AM27" s="16"/>
      <c r="AN27" s="14"/>
      <c r="AO27" s="16"/>
      <c r="AP27" s="5" t="s">
        <v>1651</v>
      </c>
    </row>
    <row r="28" customFormat="false" ht="15" hidden="false" customHeight="false" outlineLevel="0" collapsed="false">
      <c r="A28" s="14" t="s">
        <v>1652</v>
      </c>
      <c r="B28" s="14" t="s">
        <v>1653</v>
      </c>
      <c r="C28" s="14" t="s">
        <v>1049</v>
      </c>
      <c r="D28" s="14" t="s">
        <v>1196</v>
      </c>
      <c r="E28" s="14" t="s">
        <v>750</v>
      </c>
      <c r="F28" s="14" t="s">
        <v>659</v>
      </c>
      <c r="G28" s="14" t="s">
        <v>82</v>
      </c>
      <c r="H28" s="14" t="s">
        <v>1551</v>
      </c>
      <c r="I28" s="14" t="n">
        <v>14</v>
      </c>
      <c r="J28" s="14" t="s">
        <v>1654</v>
      </c>
      <c r="K28" s="14" t="s">
        <v>1617</v>
      </c>
      <c r="L28" s="14" t="s">
        <v>1655</v>
      </c>
      <c r="M28" s="14"/>
      <c r="N28" s="14"/>
      <c r="O28" s="14" t="s">
        <v>658</v>
      </c>
      <c r="P28" s="14" t="s">
        <v>658</v>
      </c>
      <c r="Q28" s="14"/>
      <c r="R28" s="14" t="s">
        <v>658</v>
      </c>
      <c r="S28" s="14" t="s">
        <v>659</v>
      </c>
      <c r="T28" s="14" t="s">
        <v>659</v>
      </c>
      <c r="U28" s="14" t="s">
        <v>659</v>
      </c>
      <c r="V28" s="14" t="s">
        <v>659</v>
      </c>
      <c r="W28" s="14" t="s">
        <v>659</v>
      </c>
      <c r="X28" s="14" t="s">
        <v>659</v>
      </c>
      <c r="Y28" s="14" t="s">
        <v>658</v>
      </c>
      <c r="Z28" s="14" t="s">
        <v>658</v>
      </c>
      <c r="AA28" s="16" t="n">
        <v>4</v>
      </c>
      <c r="AB28" s="14" t="s">
        <v>1623</v>
      </c>
      <c r="AC28" s="16"/>
      <c r="AD28" s="14"/>
      <c r="AE28" s="14" t="s">
        <v>687</v>
      </c>
      <c r="AF28" s="14" t="s">
        <v>691</v>
      </c>
      <c r="AG28" s="14" t="s">
        <v>693</v>
      </c>
      <c r="AH28" s="14" t="s">
        <v>776</v>
      </c>
      <c r="AI28" s="14"/>
      <c r="AJ28" s="14"/>
      <c r="AK28" s="14"/>
      <c r="AL28" s="14"/>
      <c r="AM28" s="16"/>
      <c r="AN28" s="14"/>
      <c r="AO28" s="16"/>
      <c r="AP28" s="5" t="s">
        <v>1656</v>
      </c>
    </row>
    <row r="29" customFormat="false" ht="23.85" hidden="false" customHeight="false" outlineLevel="0" collapsed="false">
      <c r="A29" s="14" t="s">
        <v>1657</v>
      </c>
      <c r="B29" s="14" t="s">
        <v>1658</v>
      </c>
      <c r="C29" s="14" t="s">
        <v>1049</v>
      </c>
      <c r="D29" s="14" t="s">
        <v>1196</v>
      </c>
      <c r="E29" s="14" t="s">
        <v>750</v>
      </c>
      <c r="F29" s="14" t="s">
        <v>659</v>
      </c>
      <c r="G29" s="14" t="s">
        <v>82</v>
      </c>
      <c r="H29" s="14" t="s">
        <v>1551</v>
      </c>
      <c r="I29" s="14" t="n">
        <v>14</v>
      </c>
      <c r="J29" s="14" t="s">
        <v>1659</v>
      </c>
      <c r="K29" s="14" t="s">
        <v>1617</v>
      </c>
      <c r="L29" s="14" t="s">
        <v>1660</v>
      </c>
      <c r="M29" s="14"/>
      <c r="N29" s="14"/>
      <c r="O29" s="14" t="s">
        <v>658</v>
      </c>
      <c r="P29" s="14" t="s">
        <v>658</v>
      </c>
      <c r="Q29" s="14"/>
      <c r="R29" s="14" t="s">
        <v>658</v>
      </c>
      <c r="S29" s="14" t="s">
        <v>659</v>
      </c>
      <c r="T29" s="14" t="s">
        <v>659</v>
      </c>
      <c r="U29" s="14" t="s">
        <v>659</v>
      </c>
      <c r="V29" s="14" t="s">
        <v>659</v>
      </c>
      <c r="W29" s="14" t="s">
        <v>659</v>
      </c>
      <c r="X29" s="14" t="s">
        <v>659</v>
      </c>
      <c r="Y29" s="14" t="s">
        <v>658</v>
      </c>
      <c r="Z29" s="14" t="s">
        <v>658</v>
      </c>
      <c r="AA29" s="16" t="n">
        <v>4</v>
      </c>
      <c r="AB29" s="14" t="s">
        <v>1623</v>
      </c>
      <c r="AC29" s="16"/>
      <c r="AD29" s="14"/>
      <c r="AE29" s="14" t="s">
        <v>687</v>
      </c>
      <c r="AF29" s="14" t="s">
        <v>691</v>
      </c>
      <c r="AG29" s="14" t="s">
        <v>693</v>
      </c>
      <c r="AH29" s="14" t="s">
        <v>776</v>
      </c>
      <c r="AI29" s="14"/>
      <c r="AJ29" s="14"/>
      <c r="AK29" s="14"/>
      <c r="AL29" s="14"/>
      <c r="AM29" s="16"/>
      <c r="AN29" s="14"/>
      <c r="AO29" s="16"/>
      <c r="AP29" s="5" t="s">
        <v>1661</v>
      </c>
    </row>
    <row r="30" customFormat="false" ht="23.85" hidden="false" customHeight="false" outlineLevel="0" collapsed="false">
      <c r="A30" s="14" t="s">
        <v>1662</v>
      </c>
      <c r="B30" s="14" t="s">
        <v>1663</v>
      </c>
      <c r="C30" s="14" t="s">
        <v>1049</v>
      </c>
      <c r="D30" s="14" t="s">
        <v>1196</v>
      </c>
      <c r="E30" s="14" t="s">
        <v>750</v>
      </c>
      <c r="F30" s="14" t="s">
        <v>659</v>
      </c>
      <c r="G30" s="14" t="s">
        <v>82</v>
      </c>
      <c r="H30" s="14" t="s">
        <v>1551</v>
      </c>
      <c r="I30" s="14" t="n">
        <v>14</v>
      </c>
      <c r="J30" s="14" t="s">
        <v>1650</v>
      </c>
      <c r="K30" s="14" t="s">
        <v>1617</v>
      </c>
      <c r="L30" s="14" t="s">
        <v>1664</v>
      </c>
      <c r="M30" s="14"/>
      <c r="N30" s="14"/>
      <c r="O30" s="14" t="s">
        <v>659</v>
      </c>
      <c r="P30" s="14" t="s">
        <v>659</v>
      </c>
      <c r="Q30" s="14"/>
      <c r="R30" s="14" t="s">
        <v>659</v>
      </c>
      <c r="S30" s="14" t="s">
        <v>659</v>
      </c>
      <c r="T30" s="14" t="s">
        <v>659</v>
      </c>
      <c r="U30" s="14" t="s">
        <v>659</v>
      </c>
      <c r="V30" s="14" t="s">
        <v>659</v>
      </c>
      <c r="W30" s="14" t="s">
        <v>659</v>
      </c>
      <c r="X30" s="14" t="s">
        <v>658</v>
      </c>
      <c r="Y30" s="14" t="s">
        <v>659</v>
      </c>
      <c r="Z30" s="14" t="s">
        <v>659</v>
      </c>
      <c r="AA30" s="16" t="n">
        <v>0</v>
      </c>
      <c r="AB30" s="14" t="s">
        <v>673</v>
      </c>
      <c r="AC30" s="16"/>
      <c r="AD30" s="14"/>
      <c r="AE30" s="14" t="s">
        <v>687</v>
      </c>
      <c r="AF30" s="14" t="s">
        <v>691</v>
      </c>
      <c r="AG30" s="14" t="s">
        <v>693</v>
      </c>
      <c r="AH30" s="14" t="s">
        <v>776</v>
      </c>
      <c r="AI30" s="14"/>
      <c r="AJ30" s="14"/>
      <c r="AK30" s="14"/>
      <c r="AL30" s="14"/>
      <c r="AM30" s="16"/>
      <c r="AN30" s="14"/>
      <c r="AO30" s="16"/>
      <c r="AP30" s="5" t="s">
        <v>1665</v>
      </c>
    </row>
    <row r="31" customFormat="false" ht="35.05" hidden="false" customHeight="false" outlineLevel="0" collapsed="false">
      <c r="A31" s="14" t="s">
        <v>1666</v>
      </c>
      <c r="B31" s="14" t="s">
        <v>1667</v>
      </c>
      <c r="C31" s="14" t="s">
        <v>1049</v>
      </c>
      <c r="D31" s="14" t="s">
        <v>1196</v>
      </c>
      <c r="E31" s="14" t="s">
        <v>752</v>
      </c>
      <c r="F31" s="14" t="s">
        <v>659</v>
      </c>
      <c r="G31" s="14" t="s">
        <v>82</v>
      </c>
      <c r="H31" s="14" t="s">
        <v>1551</v>
      </c>
      <c r="I31" s="14" t="n">
        <v>14</v>
      </c>
      <c r="J31" s="14" t="s">
        <v>1636</v>
      </c>
      <c r="K31" s="14" t="s">
        <v>1617</v>
      </c>
      <c r="L31" s="14" t="s">
        <v>1668</v>
      </c>
      <c r="M31" s="14"/>
      <c r="N31" s="14"/>
      <c r="O31" s="14" t="s">
        <v>658</v>
      </c>
      <c r="P31" s="14" t="s">
        <v>658</v>
      </c>
      <c r="Q31" s="14"/>
      <c r="R31" s="14" t="s">
        <v>658</v>
      </c>
      <c r="S31" s="14"/>
      <c r="T31" s="14"/>
      <c r="U31" s="14"/>
      <c r="V31" s="14"/>
      <c r="W31" s="14"/>
      <c r="X31" s="14"/>
      <c r="Y31" s="14" t="s">
        <v>658</v>
      </c>
      <c r="Z31" s="14" t="s">
        <v>658</v>
      </c>
      <c r="AA31" s="16" t="n">
        <v>5</v>
      </c>
      <c r="AB31" s="14"/>
      <c r="AC31" s="16"/>
      <c r="AD31" s="14"/>
      <c r="AE31" s="14" t="s">
        <v>687</v>
      </c>
      <c r="AF31" s="14" t="s">
        <v>691</v>
      </c>
      <c r="AG31" s="14" t="s">
        <v>693</v>
      </c>
      <c r="AH31" s="14" t="s">
        <v>776</v>
      </c>
      <c r="AI31" s="14"/>
      <c r="AJ31" s="14"/>
      <c r="AK31" s="14"/>
      <c r="AL31" s="14"/>
      <c r="AM31" s="16"/>
      <c r="AN31" s="14"/>
      <c r="AO31" s="16"/>
      <c r="AP31" s="5" t="s">
        <v>1669</v>
      </c>
    </row>
    <row r="32" customFormat="false" ht="15" hidden="false" customHeight="false" outlineLevel="0" collapsed="false">
      <c r="A32" s="14" t="s">
        <v>1670</v>
      </c>
      <c r="B32" s="14" t="s">
        <v>1671</v>
      </c>
      <c r="C32" s="14" t="s">
        <v>1049</v>
      </c>
      <c r="D32" s="14" t="s">
        <v>1196</v>
      </c>
      <c r="E32" s="14" t="s">
        <v>750</v>
      </c>
      <c r="F32" s="14" t="s">
        <v>659</v>
      </c>
      <c r="G32" s="14" t="s">
        <v>82</v>
      </c>
      <c r="H32" s="14" t="s">
        <v>1551</v>
      </c>
      <c r="I32" s="14" t="n">
        <v>14</v>
      </c>
      <c r="J32" s="14" t="s">
        <v>1672</v>
      </c>
      <c r="K32" s="14" t="s">
        <v>1617</v>
      </c>
      <c r="L32" s="14" t="s">
        <v>1673</v>
      </c>
      <c r="M32" s="14"/>
      <c r="N32" s="14"/>
      <c r="O32" s="14" t="s">
        <v>658</v>
      </c>
      <c r="P32" s="14" t="s">
        <v>658</v>
      </c>
      <c r="Q32" s="14"/>
      <c r="R32" s="14" t="s">
        <v>659</v>
      </c>
      <c r="S32" s="14" t="s">
        <v>659</v>
      </c>
      <c r="T32" s="14" t="s">
        <v>659</v>
      </c>
      <c r="U32" s="14" t="s">
        <v>659</v>
      </c>
      <c r="V32" s="14" t="s">
        <v>659</v>
      </c>
      <c r="W32" s="14" t="s">
        <v>659</v>
      </c>
      <c r="X32" s="14" t="s">
        <v>659</v>
      </c>
      <c r="Y32" s="14" t="s">
        <v>658</v>
      </c>
      <c r="Z32" s="14" t="s">
        <v>659</v>
      </c>
      <c r="AA32" s="16" t="n">
        <v>0</v>
      </c>
      <c r="AB32" s="14" t="s">
        <v>1623</v>
      </c>
      <c r="AC32" s="16"/>
      <c r="AD32" s="14"/>
      <c r="AE32" s="14" t="s">
        <v>687</v>
      </c>
      <c r="AF32" s="14" t="s">
        <v>691</v>
      </c>
      <c r="AG32" s="14" t="s">
        <v>693</v>
      </c>
      <c r="AH32" s="14" t="s">
        <v>776</v>
      </c>
      <c r="AI32" s="14"/>
      <c r="AJ32" s="14"/>
      <c r="AK32" s="14"/>
      <c r="AL32" s="14"/>
      <c r="AM32" s="16"/>
      <c r="AN32" s="14"/>
      <c r="AO32" s="16"/>
      <c r="AP32" s="5" t="s">
        <v>1674</v>
      </c>
    </row>
    <row r="33" customFormat="false" ht="23.85" hidden="false" customHeight="false" outlineLevel="0" collapsed="false">
      <c r="A33" s="14" t="s">
        <v>1675</v>
      </c>
      <c r="B33" s="14" t="s">
        <v>1676</v>
      </c>
      <c r="C33" s="14" t="s">
        <v>1049</v>
      </c>
      <c r="D33" s="14" t="s">
        <v>1196</v>
      </c>
      <c r="E33" s="14" t="s">
        <v>750</v>
      </c>
      <c r="F33" s="14" t="s">
        <v>659</v>
      </c>
      <c r="G33" s="14" t="s">
        <v>82</v>
      </c>
      <c r="H33" s="14" t="s">
        <v>1551</v>
      </c>
      <c r="I33" s="14" t="n">
        <v>14</v>
      </c>
      <c r="J33" s="14" t="s">
        <v>1677</v>
      </c>
      <c r="K33" s="14" t="s">
        <v>1617</v>
      </c>
      <c r="L33" s="14" t="s">
        <v>1678</v>
      </c>
      <c r="M33" s="14"/>
      <c r="N33" s="14"/>
      <c r="O33" s="14" t="s">
        <v>659</v>
      </c>
      <c r="P33" s="14" t="s">
        <v>659</v>
      </c>
      <c r="Q33" s="14"/>
      <c r="R33" s="14" t="s">
        <v>659</v>
      </c>
      <c r="S33" s="14" t="s">
        <v>659</v>
      </c>
      <c r="T33" s="14" t="s">
        <v>659</v>
      </c>
      <c r="U33" s="14" t="s">
        <v>659</v>
      </c>
      <c r="V33" s="14" t="s">
        <v>659</v>
      </c>
      <c r="W33" s="14" t="s">
        <v>659</v>
      </c>
      <c r="X33" s="14" t="s">
        <v>659</v>
      </c>
      <c r="Y33" s="14" t="s">
        <v>659</v>
      </c>
      <c r="Z33" s="14" t="s">
        <v>659</v>
      </c>
      <c r="AA33" s="16" t="n">
        <v>0</v>
      </c>
      <c r="AB33" s="14" t="s">
        <v>1623</v>
      </c>
      <c r="AC33" s="16"/>
      <c r="AD33" s="14"/>
      <c r="AE33" s="14" t="s">
        <v>687</v>
      </c>
      <c r="AF33" s="14" t="s">
        <v>691</v>
      </c>
      <c r="AG33" s="14" t="s">
        <v>693</v>
      </c>
      <c r="AH33" s="14" t="s">
        <v>776</v>
      </c>
      <c r="AI33" s="14"/>
      <c r="AJ33" s="14"/>
      <c r="AK33" s="14"/>
      <c r="AL33" s="14"/>
      <c r="AM33" s="16"/>
      <c r="AN33" s="14"/>
      <c r="AO33" s="16"/>
      <c r="AP33" s="5" t="s">
        <v>1679</v>
      </c>
    </row>
    <row r="34" customFormat="false" ht="15" hidden="false" customHeight="false" outlineLevel="0" collapsed="false">
      <c r="A34" s="14" t="s">
        <v>1680</v>
      </c>
      <c r="B34" s="14" t="s">
        <v>1681</v>
      </c>
      <c r="C34" s="14" t="s">
        <v>1049</v>
      </c>
      <c r="D34" s="14" t="s">
        <v>1196</v>
      </c>
      <c r="E34" s="14" t="s">
        <v>694</v>
      </c>
      <c r="F34" s="14" t="s">
        <v>659</v>
      </c>
      <c r="G34" s="14" t="s">
        <v>82</v>
      </c>
      <c r="H34" s="14" t="s">
        <v>1551</v>
      </c>
      <c r="I34" s="14" t="n">
        <v>14</v>
      </c>
      <c r="J34" s="14" t="s">
        <v>1636</v>
      </c>
      <c r="K34" s="14" t="s">
        <v>1617</v>
      </c>
      <c r="L34" s="14" t="s">
        <v>1673</v>
      </c>
      <c r="M34" s="14"/>
      <c r="N34" s="14"/>
      <c r="O34" s="14" t="s">
        <v>658</v>
      </c>
      <c r="P34" s="14" t="s">
        <v>658</v>
      </c>
      <c r="Q34" s="14"/>
      <c r="R34" s="14" t="s">
        <v>659</v>
      </c>
      <c r="S34" s="14" t="s">
        <v>659</v>
      </c>
      <c r="T34" s="14" t="s">
        <v>659</v>
      </c>
      <c r="U34" s="14" t="s">
        <v>659</v>
      </c>
      <c r="V34" s="14" t="s">
        <v>659</v>
      </c>
      <c r="W34" s="14" t="s">
        <v>659</v>
      </c>
      <c r="X34" s="14" t="s">
        <v>659</v>
      </c>
      <c r="Y34" s="14" t="s">
        <v>659</v>
      </c>
      <c r="Z34" s="14" t="s">
        <v>659</v>
      </c>
      <c r="AA34" s="16" t="n">
        <v>5.5</v>
      </c>
      <c r="AB34" s="14" t="s">
        <v>1623</v>
      </c>
      <c r="AC34" s="16"/>
      <c r="AD34" s="14"/>
      <c r="AE34" s="14" t="s">
        <v>687</v>
      </c>
      <c r="AF34" s="14" t="s">
        <v>691</v>
      </c>
      <c r="AG34" s="14" t="s">
        <v>694</v>
      </c>
      <c r="AH34" s="14" t="s">
        <v>776</v>
      </c>
      <c r="AI34" s="14"/>
      <c r="AJ34" s="14"/>
      <c r="AK34" s="14"/>
      <c r="AL34" s="14"/>
      <c r="AM34" s="16"/>
      <c r="AN34" s="14"/>
      <c r="AO34" s="16"/>
      <c r="AP34" s="14" t="s">
        <v>694</v>
      </c>
    </row>
    <row r="35" customFormat="false" ht="15" hidden="false" customHeight="false" outlineLevel="0" collapsed="false">
      <c r="A35" s="14" t="s">
        <v>1682</v>
      </c>
      <c r="B35" s="14" t="s">
        <v>1683</v>
      </c>
      <c r="C35" s="14" t="s">
        <v>1049</v>
      </c>
      <c r="D35" s="14" t="s">
        <v>1196</v>
      </c>
      <c r="E35" s="14" t="s">
        <v>694</v>
      </c>
      <c r="F35" s="14" t="s">
        <v>659</v>
      </c>
      <c r="G35" s="14" t="s">
        <v>82</v>
      </c>
      <c r="H35" s="14" t="s">
        <v>1551</v>
      </c>
      <c r="I35" s="14" t="n">
        <v>14</v>
      </c>
      <c r="J35" s="14" t="s">
        <v>1636</v>
      </c>
      <c r="K35" s="14" t="s">
        <v>1617</v>
      </c>
      <c r="L35" s="14" t="s">
        <v>1618</v>
      </c>
      <c r="M35" s="14"/>
      <c r="N35" s="14"/>
      <c r="O35" s="14" t="s">
        <v>658</v>
      </c>
      <c r="P35" s="14" t="s">
        <v>658</v>
      </c>
      <c r="Q35" s="14"/>
      <c r="R35" s="14" t="s">
        <v>659</v>
      </c>
      <c r="S35" s="14" t="s">
        <v>659</v>
      </c>
      <c r="T35" s="14" t="s">
        <v>659</v>
      </c>
      <c r="U35" s="14" t="s">
        <v>659</v>
      </c>
      <c r="V35" s="14" t="s">
        <v>659</v>
      </c>
      <c r="W35" s="14" t="s">
        <v>659</v>
      </c>
      <c r="X35" s="14" t="s">
        <v>659</v>
      </c>
      <c r="Y35" s="14" t="s">
        <v>659</v>
      </c>
      <c r="Z35" s="14" t="s">
        <v>659</v>
      </c>
      <c r="AA35" s="16" t="n">
        <v>3.8</v>
      </c>
      <c r="AB35" s="14" t="s">
        <v>1623</v>
      </c>
      <c r="AC35" s="16"/>
      <c r="AD35" s="14"/>
      <c r="AE35" s="14" t="s">
        <v>687</v>
      </c>
      <c r="AF35" s="14" t="s">
        <v>691</v>
      </c>
      <c r="AG35" s="14" t="s">
        <v>694</v>
      </c>
      <c r="AH35" s="14" t="s">
        <v>776</v>
      </c>
      <c r="AI35" s="14"/>
      <c r="AJ35" s="14"/>
      <c r="AK35" s="14"/>
      <c r="AL35" s="14"/>
      <c r="AM35" s="16"/>
      <c r="AN35" s="14"/>
      <c r="AO35" s="16"/>
      <c r="AP35" s="14" t="s">
        <v>694</v>
      </c>
    </row>
    <row r="36" customFormat="false" ht="15" hidden="false" customHeight="false" outlineLevel="0" collapsed="false">
      <c r="A36" s="14" t="s">
        <v>1684</v>
      </c>
      <c r="B36" s="14" t="s">
        <v>1685</v>
      </c>
      <c r="C36" s="14" t="s">
        <v>1049</v>
      </c>
      <c r="D36" s="14" t="s">
        <v>1196</v>
      </c>
      <c r="E36" s="14" t="s">
        <v>694</v>
      </c>
      <c r="F36" s="14" t="s">
        <v>659</v>
      </c>
      <c r="G36" s="14" t="s">
        <v>82</v>
      </c>
      <c r="H36" s="14" t="s">
        <v>1551</v>
      </c>
      <c r="I36" s="14" t="n">
        <v>14</v>
      </c>
      <c r="J36" s="14" t="s">
        <v>1636</v>
      </c>
      <c r="K36" s="14" t="s">
        <v>1617</v>
      </c>
      <c r="L36" s="14" t="s">
        <v>1618</v>
      </c>
      <c r="M36" s="14"/>
      <c r="N36" s="14"/>
      <c r="O36" s="14" t="s">
        <v>659</v>
      </c>
      <c r="P36" s="14" t="s">
        <v>659</v>
      </c>
      <c r="Q36" s="14"/>
      <c r="R36" s="14" t="s">
        <v>659</v>
      </c>
      <c r="S36" s="14" t="s">
        <v>659</v>
      </c>
      <c r="T36" s="14" t="s">
        <v>659</v>
      </c>
      <c r="U36" s="14" t="s">
        <v>659</v>
      </c>
      <c r="V36" s="14" t="s">
        <v>659</v>
      </c>
      <c r="W36" s="14" t="s">
        <v>659</v>
      </c>
      <c r="X36" s="14" t="s">
        <v>659</v>
      </c>
      <c r="Y36" s="14" t="s">
        <v>659</v>
      </c>
      <c r="Z36" s="14" t="s">
        <v>659</v>
      </c>
      <c r="AA36" s="16" t="n">
        <v>0</v>
      </c>
      <c r="AB36" s="14" t="s">
        <v>1623</v>
      </c>
      <c r="AC36" s="16"/>
      <c r="AD36" s="14"/>
      <c r="AE36" s="14" t="s">
        <v>687</v>
      </c>
      <c r="AF36" s="14" t="s">
        <v>691</v>
      </c>
      <c r="AG36" s="14" t="s">
        <v>694</v>
      </c>
      <c r="AH36" s="14" t="s">
        <v>776</v>
      </c>
      <c r="AI36" s="14"/>
      <c r="AJ36" s="14"/>
      <c r="AK36" s="14"/>
      <c r="AL36" s="14"/>
      <c r="AM36" s="16"/>
      <c r="AN36" s="14"/>
      <c r="AO36" s="16"/>
      <c r="AP36" s="14" t="s">
        <v>694</v>
      </c>
    </row>
    <row r="37" customFormat="false" ht="15" hidden="false" customHeight="false" outlineLevel="0" collapsed="false">
      <c r="A37" s="14" t="s">
        <v>1686</v>
      </c>
      <c r="B37" s="14" t="s">
        <v>1687</v>
      </c>
      <c r="C37" s="14" t="s">
        <v>1049</v>
      </c>
      <c r="D37" s="14" t="s">
        <v>1196</v>
      </c>
      <c r="E37" s="14" t="s">
        <v>694</v>
      </c>
      <c r="F37" s="14" t="s">
        <v>659</v>
      </c>
      <c r="G37" s="14" t="s">
        <v>82</v>
      </c>
      <c r="H37" s="14" t="s">
        <v>1551</v>
      </c>
      <c r="I37" s="14" t="n">
        <v>14</v>
      </c>
      <c r="J37" s="14" t="s">
        <v>1636</v>
      </c>
      <c r="K37" s="14" t="s">
        <v>1617</v>
      </c>
      <c r="L37" s="14" t="s">
        <v>1688</v>
      </c>
      <c r="M37" s="14"/>
      <c r="N37" s="14"/>
      <c r="O37" s="14" t="s">
        <v>658</v>
      </c>
      <c r="P37" s="14" t="s">
        <v>659</v>
      </c>
      <c r="Q37" s="14"/>
      <c r="R37" s="14" t="s">
        <v>659</v>
      </c>
      <c r="S37" s="14" t="s">
        <v>659</v>
      </c>
      <c r="T37" s="14" t="s">
        <v>659</v>
      </c>
      <c r="U37" s="14" t="s">
        <v>659</v>
      </c>
      <c r="V37" s="14" t="s">
        <v>659</v>
      </c>
      <c r="W37" s="14" t="s">
        <v>659</v>
      </c>
      <c r="X37" s="14" t="s">
        <v>658</v>
      </c>
      <c r="Y37" s="14" t="s">
        <v>659</v>
      </c>
      <c r="Z37" s="14" t="s">
        <v>659</v>
      </c>
      <c r="AA37" s="16" t="n">
        <v>4</v>
      </c>
      <c r="AB37" s="14" t="s">
        <v>673</v>
      </c>
      <c r="AC37" s="16" t="n">
        <v>4.5</v>
      </c>
      <c r="AD37" s="14"/>
      <c r="AE37" s="14" t="s">
        <v>687</v>
      </c>
      <c r="AF37" s="14" t="s">
        <v>691</v>
      </c>
      <c r="AG37" s="14" t="s">
        <v>694</v>
      </c>
      <c r="AH37" s="14" t="s">
        <v>776</v>
      </c>
      <c r="AI37" s="14"/>
      <c r="AJ37" s="14"/>
      <c r="AK37" s="14"/>
      <c r="AL37" s="14"/>
      <c r="AM37" s="16"/>
      <c r="AN37" s="14"/>
      <c r="AO37" s="16"/>
      <c r="AP37" s="14" t="s">
        <v>694</v>
      </c>
    </row>
    <row r="38" customFormat="false" ht="15" hidden="false" customHeight="false" outlineLevel="0" collapsed="false">
      <c r="A38" s="14" t="s">
        <v>1689</v>
      </c>
      <c r="B38" s="14" t="s">
        <v>1690</v>
      </c>
      <c r="C38" s="14" t="s">
        <v>1049</v>
      </c>
      <c r="D38" s="14" t="s">
        <v>1196</v>
      </c>
      <c r="E38" s="14" t="s">
        <v>694</v>
      </c>
      <c r="F38" s="14" t="s">
        <v>659</v>
      </c>
      <c r="G38" s="14" t="s">
        <v>82</v>
      </c>
      <c r="H38" s="14" t="s">
        <v>1551</v>
      </c>
      <c r="I38" s="14" t="n">
        <v>14</v>
      </c>
      <c r="J38" s="14" t="s">
        <v>1636</v>
      </c>
      <c r="K38" s="14" t="s">
        <v>1617</v>
      </c>
      <c r="L38" s="14" t="s">
        <v>1688</v>
      </c>
      <c r="M38" s="14"/>
      <c r="N38" s="14"/>
      <c r="O38" s="14" t="s">
        <v>659</v>
      </c>
      <c r="P38" s="14" t="s">
        <v>659</v>
      </c>
      <c r="Q38" s="14"/>
      <c r="R38" s="14" t="s">
        <v>659</v>
      </c>
      <c r="S38" s="14" t="s">
        <v>659</v>
      </c>
      <c r="T38" s="14" t="s">
        <v>659</v>
      </c>
      <c r="U38" s="14" t="s">
        <v>659</v>
      </c>
      <c r="V38" s="14" t="s">
        <v>659</v>
      </c>
      <c r="W38" s="14" t="s">
        <v>659</v>
      </c>
      <c r="X38" s="14" t="s">
        <v>659</v>
      </c>
      <c r="Y38" s="14" t="s">
        <v>659</v>
      </c>
      <c r="Z38" s="14" t="s">
        <v>659</v>
      </c>
      <c r="AA38" s="16" t="n">
        <v>0</v>
      </c>
      <c r="AB38" s="14" t="s">
        <v>1623</v>
      </c>
      <c r="AC38" s="16"/>
      <c r="AD38" s="14"/>
      <c r="AE38" s="14" t="s">
        <v>687</v>
      </c>
      <c r="AF38" s="14" t="s">
        <v>691</v>
      </c>
      <c r="AG38" s="14" t="s">
        <v>694</v>
      </c>
      <c r="AH38" s="14" t="s">
        <v>776</v>
      </c>
      <c r="AI38" s="14"/>
      <c r="AJ38" s="14"/>
      <c r="AK38" s="14"/>
      <c r="AL38" s="14"/>
      <c r="AM38" s="16"/>
      <c r="AN38" s="14"/>
      <c r="AO38" s="16"/>
      <c r="AP38" s="14" t="s">
        <v>694</v>
      </c>
    </row>
    <row r="39" customFormat="false" ht="15" hidden="false" customHeight="false" outlineLevel="0" collapsed="false">
      <c r="A39" s="14" t="s">
        <v>1691</v>
      </c>
      <c r="B39" s="14" t="s">
        <v>1692</v>
      </c>
      <c r="C39" s="14" t="s">
        <v>1049</v>
      </c>
      <c r="D39" s="14" t="s">
        <v>1196</v>
      </c>
      <c r="E39" s="14" t="s">
        <v>694</v>
      </c>
      <c r="F39" s="14" t="s">
        <v>659</v>
      </c>
      <c r="G39" s="14" t="s">
        <v>82</v>
      </c>
      <c r="H39" s="14" t="s">
        <v>1551</v>
      </c>
      <c r="I39" s="14" t="n">
        <v>14</v>
      </c>
      <c r="J39" s="14" t="s">
        <v>1636</v>
      </c>
      <c r="K39" s="14" t="s">
        <v>1617</v>
      </c>
      <c r="L39" s="14" t="s">
        <v>1693</v>
      </c>
      <c r="M39" s="14"/>
      <c r="N39" s="14"/>
      <c r="O39" s="14" t="s">
        <v>659</v>
      </c>
      <c r="P39" s="14" t="s">
        <v>659</v>
      </c>
      <c r="Q39" s="14"/>
      <c r="R39" s="14" t="s">
        <v>659</v>
      </c>
      <c r="S39" s="14" t="s">
        <v>659</v>
      </c>
      <c r="T39" s="14" t="s">
        <v>659</v>
      </c>
      <c r="U39" s="14" t="s">
        <v>658</v>
      </c>
      <c r="V39" s="14" t="s">
        <v>658</v>
      </c>
      <c r="W39" s="14" t="s">
        <v>658</v>
      </c>
      <c r="X39" s="14" t="s">
        <v>659</v>
      </c>
      <c r="Y39" s="14" t="s">
        <v>659</v>
      </c>
      <c r="Z39" s="14" t="s">
        <v>659</v>
      </c>
      <c r="AA39" s="16" t="n">
        <v>0</v>
      </c>
      <c r="AB39" s="14" t="s">
        <v>672</v>
      </c>
      <c r="AC39" s="16" t="n">
        <v>5.5</v>
      </c>
      <c r="AD39" s="14"/>
      <c r="AE39" s="14" t="s">
        <v>687</v>
      </c>
      <c r="AF39" s="14" t="s">
        <v>691</v>
      </c>
      <c r="AG39" s="14" t="s">
        <v>694</v>
      </c>
      <c r="AH39" s="14" t="s">
        <v>776</v>
      </c>
      <c r="AI39" s="14"/>
      <c r="AJ39" s="14"/>
      <c r="AK39" s="14"/>
      <c r="AL39" s="14"/>
      <c r="AM39" s="16"/>
      <c r="AN39" s="14"/>
      <c r="AO39" s="16"/>
      <c r="AP39" s="14" t="s">
        <v>694</v>
      </c>
    </row>
    <row r="40" customFormat="false" ht="15" hidden="false" customHeight="false" outlineLevel="0" collapsed="false">
      <c r="A40" s="14" t="s">
        <v>1694</v>
      </c>
      <c r="B40" s="14" t="s">
        <v>1695</v>
      </c>
      <c r="C40" s="14" t="s">
        <v>1049</v>
      </c>
      <c r="D40" s="14" t="s">
        <v>1196</v>
      </c>
      <c r="E40" s="14" t="s">
        <v>694</v>
      </c>
      <c r="F40" s="14" t="s">
        <v>659</v>
      </c>
      <c r="G40" s="14" t="s">
        <v>82</v>
      </c>
      <c r="H40" s="14" t="s">
        <v>1551</v>
      </c>
      <c r="I40" s="14" t="n">
        <v>14</v>
      </c>
      <c r="J40" s="14" t="s">
        <v>1636</v>
      </c>
      <c r="K40" s="14" t="s">
        <v>1617</v>
      </c>
      <c r="L40" s="14" t="s">
        <v>1688</v>
      </c>
      <c r="M40" s="14"/>
      <c r="N40" s="14"/>
      <c r="O40" s="14" t="s">
        <v>658</v>
      </c>
      <c r="P40" s="14" t="s">
        <v>658</v>
      </c>
      <c r="Q40" s="14"/>
      <c r="R40" s="14" t="s">
        <v>659</v>
      </c>
      <c r="S40" s="14" t="s">
        <v>659</v>
      </c>
      <c r="T40" s="14" t="s">
        <v>659</v>
      </c>
      <c r="U40" s="14" t="s">
        <v>659</v>
      </c>
      <c r="V40" s="14" t="s">
        <v>659</v>
      </c>
      <c r="W40" s="14" t="s">
        <v>659</v>
      </c>
      <c r="X40" s="14" t="s">
        <v>658</v>
      </c>
      <c r="Y40" s="14" t="s">
        <v>659</v>
      </c>
      <c r="Z40" s="14" t="s">
        <v>659</v>
      </c>
      <c r="AA40" s="16" t="n">
        <v>4</v>
      </c>
      <c r="AB40" s="14" t="s">
        <v>673</v>
      </c>
      <c r="AC40" s="16" t="n">
        <v>4.9</v>
      </c>
      <c r="AD40" s="14"/>
      <c r="AE40" s="14" t="s">
        <v>687</v>
      </c>
      <c r="AF40" s="14" t="s">
        <v>691</v>
      </c>
      <c r="AG40" s="14" t="s">
        <v>694</v>
      </c>
      <c r="AH40" s="14" t="s">
        <v>776</v>
      </c>
      <c r="AI40" s="14"/>
      <c r="AJ40" s="14"/>
      <c r="AK40" s="14"/>
      <c r="AL40" s="14"/>
      <c r="AM40" s="16"/>
      <c r="AN40" s="14"/>
      <c r="AO40" s="16"/>
      <c r="AP40" s="14" t="s">
        <v>694</v>
      </c>
    </row>
    <row r="41" customFormat="false" ht="15" hidden="false" customHeight="false" outlineLevel="0" collapsed="false">
      <c r="A41" s="14" t="s">
        <v>1696</v>
      </c>
      <c r="B41" s="14" t="s">
        <v>1697</v>
      </c>
      <c r="C41" s="14" t="s">
        <v>1049</v>
      </c>
      <c r="D41" s="14" t="s">
        <v>1196</v>
      </c>
      <c r="E41" s="14" t="s">
        <v>750</v>
      </c>
      <c r="F41" s="14" t="s">
        <v>659</v>
      </c>
      <c r="G41" s="14" t="s">
        <v>82</v>
      </c>
      <c r="H41" s="14" t="s">
        <v>1551</v>
      </c>
      <c r="I41" s="14" t="n">
        <v>14</v>
      </c>
      <c r="J41" s="14" t="s">
        <v>1636</v>
      </c>
      <c r="K41" s="14" t="s">
        <v>1617</v>
      </c>
      <c r="L41" s="14" t="s">
        <v>1618</v>
      </c>
      <c r="M41" s="14"/>
      <c r="N41" s="14"/>
      <c r="O41" s="14" t="s">
        <v>658</v>
      </c>
      <c r="P41" s="14" t="s">
        <v>658</v>
      </c>
      <c r="Q41" s="14"/>
      <c r="R41" s="14" t="s">
        <v>658</v>
      </c>
      <c r="S41" s="14" t="s">
        <v>659</v>
      </c>
      <c r="T41" s="14" t="s">
        <v>659</v>
      </c>
      <c r="U41" s="14" t="s">
        <v>659</v>
      </c>
      <c r="V41" s="14" t="s">
        <v>659</v>
      </c>
      <c r="W41" s="14" t="s">
        <v>659</v>
      </c>
      <c r="X41" s="14" t="s">
        <v>659</v>
      </c>
      <c r="Y41" s="14" t="s">
        <v>658</v>
      </c>
      <c r="Z41" s="14" t="s">
        <v>658</v>
      </c>
      <c r="AA41" s="16" t="n">
        <v>3.5</v>
      </c>
      <c r="AB41" s="14" t="s">
        <v>1623</v>
      </c>
      <c r="AC41" s="16"/>
      <c r="AD41" s="14"/>
      <c r="AE41" s="14" t="s">
        <v>687</v>
      </c>
      <c r="AF41" s="14" t="s">
        <v>691</v>
      </c>
      <c r="AG41" s="14" t="s">
        <v>693</v>
      </c>
      <c r="AH41" s="14" t="s">
        <v>776</v>
      </c>
      <c r="AI41" s="14"/>
      <c r="AJ41" s="14"/>
      <c r="AK41" s="14"/>
      <c r="AL41" s="14"/>
      <c r="AM41" s="16"/>
      <c r="AN41" s="14"/>
      <c r="AO41" s="16"/>
      <c r="AP41" s="14" t="s">
        <v>1698</v>
      </c>
    </row>
    <row r="42" customFormat="false" ht="46.25" hidden="false" customHeight="false" outlineLevel="0" collapsed="false">
      <c r="A42" s="14" t="s">
        <v>1699</v>
      </c>
      <c r="B42" s="14" t="s">
        <v>1700</v>
      </c>
      <c r="C42" s="14" t="s">
        <v>1049</v>
      </c>
      <c r="D42" s="14" t="s">
        <v>1196</v>
      </c>
      <c r="E42" s="14" t="s">
        <v>750</v>
      </c>
      <c r="F42" s="14" t="s">
        <v>659</v>
      </c>
      <c r="G42" s="14" t="s">
        <v>82</v>
      </c>
      <c r="H42" s="14" t="s">
        <v>1551</v>
      </c>
      <c r="I42" s="14" t="n">
        <v>14</v>
      </c>
      <c r="J42" s="14" t="s">
        <v>1659</v>
      </c>
      <c r="K42" s="14" t="s">
        <v>1617</v>
      </c>
      <c r="L42" s="14" t="s">
        <v>1701</v>
      </c>
      <c r="M42" s="14"/>
      <c r="N42" s="14"/>
      <c r="O42" s="14" t="s">
        <v>658</v>
      </c>
      <c r="P42" s="14" t="s">
        <v>658</v>
      </c>
      <c r="Q42" s="14"/>
      <c r="R42" s="14" t="s">
        <v>658</v>
      </c>
      <c r="S42" s="14" t="s">
        <v>659</v>
      </c>
      <c r="T42" s="14" t="s">
        <v>659</v>
      </c>
      <c r="U42" s="14" t="s">
        <v>659</v>
      </c>
      <c r="V42" s="14" t="s">
        <v>659</v>
      </c>
      <c r="W42" s="14" t="s">
        <v>659</v>
      </c>
      <c r="X42" s="14" t="s">
        <v>659</v>
      </c>
      <c r="Y42" s="14" t="s">
        <v>658</v>
      </c>
      <c r="Z42" s="14" t="s">
        <v>658</v>
      </c>
      <c r="AA42" s="16" t="n">
        <v>4</v>
      </c>
      <c r="AB42" s="14" t="s">
        <v>1623</v>
      </c>
      <c r="AC42" s="16"/>
      <c r="AD42" s="14"/>
      <c r="AE42" s="14" t="s">
        <v>687</v>
      </c>
      <c r="AF42" s="14" t="s">
        <v>691</v>
      </c>
      <c r="AG42" s="14" t="s">
        <v>693</v>
      </c>
      <c r="AH42" s="14" t="s">
        <v>776</v>
      </c>
      <c r="AI42" s="14"/>
      <c r="AJ42" s="14"/>
      <c r="AK42" s="14"/>
      <c r="AL42" s="14"/>
      <c r="AM42" s="16"/>
      <c r="AN42" s="14"/>
      <c r="AO42" s="16"/>
      <c r="AP42" s="5" t="s">
        <v>1702</v>
      </c>
    </row>
    <row r="43" customFormat="false" ht="35.05" hidden="false" customHeight="false" outlineLevel="0" collapsed="false">
      <c r="A43" s="14" t="s">
        <v>1703</v>
      </c>
      <c r="B43" s="14" t="s">
        <v>1704</v>
      </c>
      <c r="C43" s="14" t="s">
        <v>1049</v>
      </c>
      <c r="D43" s="14" t="s">
        <v>1196</v>
      </c>
      <c r="E43" s="14" t="s">
        <v>750</v>
      </c>
      <c r="F43" s="14" t="s">
        <v>659</v>
      </c>
      <c r="G43" s="14" t="s">
        <v>82</v>
      </c>
      <c r="H43" s="14" t="s">
        <v>1551</v>
      </c>
      <c r="I43" s="14" t="n">
        <v>14</v>
      </c>
      <c r="J43" s="14" t="s">
        <v>1636</v>
      </c>
      <c r="K43" s="14" t="s">
        <v>1617</v>
      </c>
      <c r="L43" s="14" t="s">
        <v>1618</v>
      </c>
      <c r="M43" s="14"/>
      <c r="N43" s="14"/>
      <c r="O43" s="14" t="s">
        <v>658</v>
      </c>
      <c r="P43" s="14" t="s">
        <v>658</v>
      </c>
      <c r="Q43" s="14"/>
      <c r="R43" s="14" t="s">
        <v>659</v>
      </c>
      <c r="S43" s="14" t="s">
        <v>659</v>
      </c>
      <c r="T43" s="14" t="s">
        <v>659</v>
      </c>
      <c r="U43" s="14" t="s">
        <v>659</v>
      </c>
      <c r="V43" s="14" t="s">
        <v>659</v>
      </c>
      <c r="W43" s="14" t="s">
        <v>659</v>
      </c>
      <c r="X43" s="14" t="s">
        <v>659</v>
      </c>
      <c r="Y43" s="14" t="s">
        <v>658</v>
      </c>
      <c r="Z43" s="14" t="s">
        <v>659</v>
      </c>
      <c r="AA43" s="16" t="n">
        <v>4</v>
      </c>
      <c r="AB43" s="14" t="s">
        <v>1623</v>
      </c>
      <c r="AC43" s="16"/>
      <c r="AD43" s="14"/>
      <c r="AE43" s="14" t="s">
        <v>688</v>
      </c>
      <c r="AF43" s="14" t="s">
        <v>691</v>
      </c>
      <c r="AG43" s="14" t="s">
        <v>693</v>
      </c>
      <c r="AH43" s="14" t="s">
        <v>776</v>
      </c>
      <c r="AI43" s="14"/>
      <c r="AJ43" s="14"/>
      <c r="AK43" s="14"/>
      <c r="AL43" s="14"/>
      <c r="AM43" s="16"/>
      <c r="AN43" s="14"/>
      <c r="AO43" s="16"/>
      <c r="AP43" s="5" t="s">
        <v>1705</v>
      </c>
    </row>
    <row r="44" customFormat="false" ht="35.05" hidden="false" customHeight="false" outlineLevel="0" collapsed="false">
      <c r="A44" s="14" t="s">
        <v>1706</v>
      </c>
      <c r="B44" s="14" t="s">
        <v>1707</v>
      </c>
      <c r="C44" s="14" t="s">
        <v>1049</v>
      </c>
      <c r="D44" s="14" t="s">
        <v>1196</v>
      </c>
      <c r="E44" s="14" t="s">
        <v>750</v>
      </c>
      <c r="F44" s="14" t="s">
        <v>659</v>
      </c>
      <c r="G44" s="14" t="s">
        <v>82</v>
      </c>
      <c r="H44" s="14" t="s">
        <v>1551</v>
      </c>
      <c r="I44" s="14" t="n">
        <v>14</v>
      </c>
      <c r="J44" s="14" t="s">
        <v>1636</v>
      </c>
      <c r="K44" s="14" t="s">
        <v>1617</v>
      </c>
      <c r="L44" s="14" t="s">
        <v>1618</v>
      </c>
      <c r="M44" s="14"/>
      <c r="N44" s="14"/>
      <c r="O44" s="14" t="s">
        <v>658</v>
      </c>
      <c r="P44" s="14" t="s">
        <v>658</v>
      </c>
      <c r="Q44" s="14"/>
      <c r="R44" s="14" t="s">
        <v>658</v>
      </c>
      <c r="S44" s="14" t="s">
        <v>658</v>
      </c>
      <c r="T44" s="14" t="s">
        <v>658</v>
      </c>
      <c r="U44" s="14" t="s">
        <v>658</v>
      </c>
      <c r="V44" s="14" t="s">
        <v>658</v>
      </c>
      <c r="W44" s="14" t="s">
        <v>658</v>
      </c>
      <c r="X44" s="14" t="s">
        <v>658</v>
      </c>
      <c r="Y44" s="14" t="s">
        <v>658</v>
      </c>
      <c r="Z44" s="14" t="s">
        <v>658</v>
      </c>
      <c r="AA44" s="16" t="n">
        <v>3.95</v>
      </c>
      <c r="AB44" s="14" t="s">
        <v>671</v>
      </c>
      <c r="AC44" s="16" t="n">
        <v>3</v>
      </c>
      <c r="AD44" s="14"/>
      <c r="AE44" s="14" t="s">
        <v>688</v>
      </c>
      <c r="AF44" s="14" t="s">
        <v>691</v>
      </c>
      <c r="AG44" s="14" t="s">
        <v>693</v>
      </c>
      <c r="AH44" s="14" t="s">
        <v>776</v>
      </c>
      <c r="AI44" s="14"/>
      <c r="AJ44" s="14"/>
      <c r="AK44" s="14"/>
      <c r="AL44" s="14"/>
      <c r="AM44" s="16"/>
      <c r="AN44" s="14"/>
      <c r="AO44" s="16"/>
      <c r="AP44" s="5" t="s">
        <v>1708</v>
      </c>
    </row>
    <row r="45" customFormat="false" ht="35.05" hidden="false" customHeight="false" outlineLevel="0" collapsed="false">
      <c r="A45" s="14" t="s">
        <v>1709</v>
      </c>
      <c r="B45" s="14" t="s">
        <v>1710</v>
      </c>
      <c r="C45" s="14" t="s">
        <v>1049</v>
      </c>
      <c r="D45" s="14" t="s">
        <v>1196</v>
      </c>
      <c r="E45" s="14" t="s">
        <v>750</v>
      </c>
      <c r="F45" s="14" t="s">
        <v>659</v>
      </c>
      <c r="G45" s="14" t="s">
        <v>82</v>
      </c>
      <c r="H45" s="14" t="s">
        <v>1551</v>
      </c>
      <c r="I45" s="14" t="n">
        <v>14</v>
      </c>
      <c r="J45" s="14" t="s">
        <v>1711</v>
      </c>
      <c r="K45" s="14" t="s">
        <v>1617</v>
      </c>
      <c r="L45" s="14"/>
      <c r="M45" s="14"/>
      <c r="N45" s="14"/>
      <c r="O45" s="14" t="s">
        <v>658</v>
      </c>
      <c r="P45" s="14" t="s">
        <v>658</v>
      </c>
      <c r="Q45" s="14"/>
      <c r="R45" s="14" t="s">
        <v>658</v>
      </c>
      <c r="S45" s="14" t="s">
        <v>658</v>
      </c>
      <c r="T45" s="14" t="s">
        <v>658</v>
      </c>
      <c r="U45" s="14" t="s">
        <v>658</v>
      </c>
      <c r="V45" s="14" t="s">
        <v>658</v>
      </c>
      <c r="W45" s="14" t="s">
        <v>658</v>
      </c>
      <c r="X45" s="14" t="s">
        <v>658</v>
      </c>
      <c r="Y45" s="14" t="s">
        <v>658</v>
      </c>
      <c r="Z45" s="14" t="s">
        <v>658</v>
      </c>
      <c r="AA45" s="16" t="n">
        <v>3.95</v>
      </c>
      <c r="AB45" s="14" t="s">
        <v>672</v>
      </c>
      <c r="AC45" s="16" t="n">
        <v>2.8</v>
      </c>
      <c r="AD45" s="14"/>
      <c r="AE45" s="14" t="s">
        <v>688</v>
      </c>
      <c r="AF45" s="14" t="s">
        <v>691</v>
      </c>
      <c r="AG45" s="14" t="s">
        <v>693</v>
      </c>
      <c r="AH45" s="14" t="s">
        <v>776</v>
      </c>
      <c r="AI45" s="14"/>
      <c r="AJ45" s="14"/>
      <c r="AK45" s="14"/>
      <c r="AL45" s="14"/>
      <c r="AM45" s="16"/>
      <c r="AN45" s="14"/>
      <c r="AO45" s="16"/>
      <c r="AP45" s="5" t="s">
        <v>1712</v>
      </c>
    </row>
    <row r="46" customFormat="false" ht="15" hidden="false" customHeight="false" outlineLevel="0" collapsed="false">
      <c r="A46" s="14" t="s">
        <v>1713</v>
      </c>
      <c r="B46" s="14" t="s">
        <v>1714</v>
      </c>
      <c r="C46" s="14" t="s">
        <v>1049</v>
      </c>
      <c r="D46" s="14" t="s">
        <v>1196</v>
      </c>
      <c r="E46" s="14" t="s">
        <v>750</v>
      </c>
      <c r="F46" s="14" t="s">
        <v>659</v>
      </c>
      <c r="G46" s="14" t="s">
        <v>82</v>
      </c>
      <c r="H46" s="14" t="s">
        <v>1551</v>
      </c>
      <c r="I46" s="14" t="n">
        <v>14</v>
      </c>
      <c r="J46" s="14" t="s">
        <v>1715</v>
      </c>
      <c r="K46" s="14" t="s">
        <v>1617</v>
      </c>
      <c r="L46" s="14" t="s">
        <v>1716</v>
      </c>
      <c r="M46" s="14"/>
      <c r="N46" s="14"/>
      <c r="O46" s="14" t="s">
        <v>658</v>
      </c>
      <c r="P46" s="14" t="s">
        <v>658</v>
      </c>
      <c r="Q46" s="14"/>
      <c r="R46" s="14" t="s">
        <v>658</v>
      </c>
      <c r="S46" s="14" t="s">
        <v>658</v>
      </c>
      <c r="T46" s="14" t="s">
        <v>658</v>
      </c>
      <c r="U46" s="14" t="s">
        <v>658</v>
      </c>
      <c r="V46" s="14" t="s">
        <v>658</v>
      </c>
      <c r="W46" s="14" t="s">
        <v>658</v>
      </c>
      <c r="X46" s="14" t="s">
        <v>658</v>
      </c>
      <c r="Y46" s="14" t="s">
        <v>658</v>
      </c>
      <c r="Z46" s="14" t="s">
        <v>658</v>
      </c>
      <c r="AA46" s="16" t="n">
        <v>4.8</v>
      </c>
      <c r="AB46" s="14" t="s">
        <v>1623</v>
      </c>
      <c r="AC46" s="16"/>
      <c r="AD46" s="14"/>
      <c r="AE46" s="14" t="s">
        <v>687</v>
      </c>
      <c r="AF46" s="14" t="s">
        <v>691</v>
      </c>
      <c r="AG46" s="14" t="s">
        <v>693</v>
      </c>
      <c r="AH46" s="14" t="s">
        <v>776</v>
      </c>
      <c r="AI46" s="14"/>
      <c r="AJ46" s="14"/>
      <c r="AK46" s="14"/>
      <c r="AL46" s="14"/>
      <c r="AM46" s="16"/>
      <c r="AN46" s="14"/>
      <c r="AO46" s="16"/>
      <c r="AP46" s="5" t="s">
        <v>1717</v>
      </c>
    </row>
    <row r="47" customFormat="false" ht="15" hidden="false" customHeight="false" outlineLevel="0" collapsed="false">
      <c r="A47" s="14" t="s">
        <v>1718</v>
      </c>
      <c r="B47" s="14" t="s">
        <v>1719</v>
      </c>
      <c r="C47" s="14" t="s">
        <v>1049</v>
      </c>
      <c r="D47" s="14" t="s">
        <v>1196</v>
      </c>
      <c r="E47" s="14" t="s">
        <v>694</v>
      </c>
      <c r="F47" s="14" t="s">
        <v>659</v>
      </c>
      <c r="G47" s="14" t="s">
        <v>82</v>
      </c>
      <c r="H47" s="14" t="s">
        <v>1551</v>
      </c>
      <c r="I47" s="14" t="n">
        <v>14</v>
      </c>
      <c r="J47" s="14" t="s">
        <v>1711</v>
      </c>
      <c r="K47" s="14" t="s">
        <v>1617</v>
      </c>
      <c r="L47" s="14" t="s">
        <v>1720</v>
      </c>
      <c r="M47" s="14"/>
      <c r="N47" s="14"/>
      <c r="O47" s="14" t="s">
        <v>658</v>
      </c>
      <c r="P47" s="14" t="s">
        <v>658</v>
      </c>
      <c r="Q47" s="14"/>
      <c r="R47" s="14" t="s">
        <v>658</v>
      </c>
      <c r="S47" s="14" t="s">
        <v>659</v>
      </c>
      <c r="T47" s="14" t="s">
        <v>659</v>
      </c>
      <c r="U47" s="14" t="s">
        <v>659</v>
      </c>
      <c r="V47" s="14" t="s">
        <v>659</v>
      </c>
      <c r="W47" s="14" t="s">
        <v>659</v>
      </c>
      <c r="X47" s="14" t="s">
        <v>659</v>
      </c>
      <c r="Y47" s="14" t="s">
        <v>659</v>
      </c>
      <c r="Z47" s="14" t="s">
        <v>659</v>
      </c>
      <c r="AA47" s="16" t="n">
        <v>5.8</v>
      </c>
      <c r="AB47" s="14" t="s">
        <v>1623</v>
      </c>
      <c r="AC47" s="16"/>
      <c r="AD47" s="14"/>
      <c r="AE47" s="14" t="s">
        <v>687</v>
      </c>
      <c r="AF47" s="14" t="s">
        <v>691</v>
      </c>
      <c r="AG47" s="14" t="s">
        <v>694</v>
      </c>
      <c r="AH47" s="14" t="s">
        <v>776</v>
      </c>
      <c r="AI47" s="14"/>
      <c r="AJ47" s="14"/>
      <c r="AK47" s="14"/>
      <c r="AL47" s="14"/>
      <c r="AM47" s="16"/>
      <c r="AN47" s="14"/>
      <c r="AO47" s="16"/>
      <c r="AP47" s="14" t="s">
        <v>694</v>
      </c>
    </row>
    <row r="48" customFormat="false" ht="15" hidden="false" customHeight="false" outlineLevel="0" collapsed="false">
      <c r="A48" s="14" t="s">
        <v>1721</v>
      </c>
      <c r="B48" s="14" t="s">
        <v>1722</v>
      </c>
      <c r="C48" s="14" t="s">
        <v>1049</v>
      </c>
      <c r="D48" s="14" t="s">
        <v>1196</v>
      </c>
      <c r="E48" s="14" t="s">
        <v>752</v>
      </c>
      <c r="F48" s="14" t="s">
        <v>659</v>
      </c>
      <c r="G48" s="14" t="s">
        <v>82</v>
      </c>
      <c r="H48" s="14" t="s">
        <v>1551</v>
      </c>
      <c r="I48" s="14" t="n">
        <v>14</v>
      </c>
      <c r="J48" s="14" t="s">
        <v>1723</v>
      </c>
      <c r="K48" s="14" t="s">
        <v>1617</v>
      </c>
      <c r="L48" s="14" t="s">
        <v>1724</v>
      </c>
      <c r="M48" s="14"/>
      <c r="N48" s="14"/>
      <c r="O48" s="14" t="s">
        <v>658</v>
      </c>
      <c r="P48" s="14" t="s">
        <v>658</v>
      </c>
      <c r="Q48" s="14"/>
      <c r="R48" s="14" t="s">
        <v>659</v>
      </c>
      <c r="S48" s="14"/>
      <c r="T48" s="14"/>
      <c r="U48" s="14"/>
      <c r="V48" s="14"/>
      <c r="W48" s="14"/>
      <c r="X48" s="14"/>
      <c r="Y48" s="14" t="s">
        <v>659</v>
      </c>
      <c r="Z48" s="14" t="s">
        <v>659</v>
      </c>
      <c r="AA48" s="16" t="n">
        <v>0</v>
      </c>
      <c r="AB48" s="14"/>
      <c r="AC48" s="16"/>
      <c r="AD48" s="14"/>
      <c r="AE48" s="14" t="s">
        <v>687</v>
      </c>
      <c r="AF48" s="14" t="s">
        <v>691</v>
      </c>
      <c r="AG48" s="14" t="s">
        <v>693</v>
      </c>
      <c r="AH48" s="14" t="s">
        <v>776</v>
      </c>
      <c r="AI48" s="14"/>
      <c r="AJ48" s="14"/>
      <c r="AK48" s="14"/>
      <c r="AL48" s="14"/>
      <c r="AM48" s="16"/>
      <c r="AN48" s="14"/>
      <c r="AO48" s="16"/>
      <c r="AP48" s="5" t="s">
        <v>1725</v>
      </c>
    </row>
    <row r="49" customFormat="false" ht="23.85" hidden="false" customHeight="false" outlineLevel="0" collapsed="false">
      <c r="A49" s="14" t="s">
        <v>1726</v>
      </c>
      <c r="B49" s="14" t="s">
        <v>1727</v>
      </c>
      <c r="C49" s="14" t="s">
        <v>1049</v>
      </c>
      <c r="D49" s="14" t="s">
        <v>1194</v>
      </c>
      <c r="E49" s="14" t="s">
        <v>750</v>
      </c>
      <c r="F49" s="14" t="s">
        <v>659</v>
      </c>
      <c r="G49" s="14" t="s">
        <v>82</v>
      </c>
      <c r="H49" s="14" t="s">
        <v>1551</v>
      </c>
      <c r="I49" s="14" t="n">
        <v>14</v>
      </c>
      <c r="J49" s="5" t="s">
        <v>1728</v>
      </c>
      <c r="K49" s="14" t="s">
        <v>1729</v>
      </c>
      <c r="L49" s="14" t="s">
        <v>1730</v>
      </c>
      <c r="M49" s="14"/>
      <c r="N49" s="14"/>
      <c r="O49" s="14" t="s">
        <v>658</v>
      </c>
      <c r="P49" s="14" t="s">
        <v>658</v>
      </c>
      <c r="Q49" s="14"/>
      <c r="R49" s="14" t="s">
        <v>658</v>
      </c>
      <c r="S49" s="14" t="s">
        <v>659</v>
      </c>
      <c r="T49" s="14" t="s">
        <v>659</v>
      </c>
      <c r="U49" s="14" t="s">
        <v>659</v>
      </c>
      <c r="V49" s="14" t="s">
        <v>659</v>
      </c>
      <c r="W49" s="14" t="s">
        <v>659</v>
      </c>
      <c r="X49" s="14" t="s">
        <v>659</v>
      </c>
      <c r="Y49" s="14" t="s">
        <v>658</v>
      </c>
      <c r="Z49" s="14" t="s">
        <v>658</v>
      </c>
      <c r="AA49" s="16"/>
      <c r="AB49" s="14" t="s">
        <v>1623</v>
      </c>
      <c r="AC49" s="16"/>
      <c r="AD49" s="14"/>
      <c r="AE49" s="14" t="s">
        <v>687</v>
      </c>
      <c r="AF49" s="14" t="s">
        <v>691</v>
      </c>
      <c r="AG49" s="14" t="s">
        <v>693</v>
      </c>
      <c r="AH49" s="14" t="s">
        <v>982</v>
      </c>
      <c r="AI49" s="14"/>
      <c r="AJ49" s="14"/>
      <c r="AK49" s="14"/>
      <c r="AL49" s="14"/>
      <c r="AM49" s="16"/>
      <c r="AN49" s="14"/>
      <c r="AO49" s="16"/>
      <c r="AP49" s="14" t="s">
        <v>1731</v>
      </c>
    </row>
    <row r="50" customFormat="false" ht="23.85" hidden="false" customHeight="false" outlineLevel="0" collapsed="false">
      <c r="A50" s="14" t="s">
        <v>1732</v>
      </c>
      <c r="B50" s="14" t="s">
        <v>1733</v>
      </c>
      <c r="C50" s="14" t="s">
        <v>1049</v>
      </c>
      <c r="D50" s="14" t="s">
        <v>1194</v>
      </c>
      <c r="E50" s="14" t="s">
        <v>750</v>
      </c>
      <c r="F50" s="14" t="s">
        <v>659</v>
      </c>
      <c r="G50" s="14" t="s">
        <v>82</v>
      </c>
      <c r="H50" s="14" t="s">
        <v>1551</v>
      </c>
      <c r="I50" s="14" t="n">
        <v>14</v>
      </c>
      <c r="J50" s="5" t="s">
        <v>1734</v>
      </c>
      <c r="K50" s="14" t="s">
        <v>1729</v>
      </c>
      <c r="L50" s="14" t="s">
        <v>1735</v>
      </c>
      <c r="M50" s="14"/>
      <c r="N50" s="14"/>
      <c r="O50" s="14" t="s">
        <v>659</v>
      </c>
      <c r="P50" s="14" t="s">
        <v>659</v>
      </c>
      <c r="Q50" s="14"/>
      <c r="R50" s="14" t="s">
        <v>659</v>
      </c>
      <c r="S50" s="14" t="s">
        <v>659</v>
      </c>
      <c r="T50" s="14" t="s">
        <v>659</v>
      </c>
      <c r="U50" s="14" t="s">
        <v>659</v>
      </c>
      <c r="V50" s="14" t="s">
        <v>659</v>
      </c>
      <c r="W50" s="14" t="s">
        <v>659</v>
      </c>
      <c r="X50" s="14" t="s">
        <v>659</v>
      </c>
      <c r="Y50" s="14" t="s">
        <v>659</v>
      </c>
      <c r="Z50" s="14" t="s">
        <v>659</v>
      </c>
      <c r="AA50" s="16"/>
      <c r="AB50" s="14" t="s">
        <v>1623</v>
      </c>
      <c r="AC50" s="16"/>
      <c r="AD50" s="14"/>
      <c r="AE50" s="14" t="s">
        <v>687</v>
      </c>
      <c r="AF50" s="14" t="s">
        <v>691</v>
      </c>
      <c r="AG50" s="14" t="s">
        <v>693</v>
      </c>
      <c r="AH50" s="14" t="s">
        <v>982</v>
      </c>
      <c r="AI50" s="14"/>
      <c r="AJ50" s="14"/>
      <c r="AK50" s="14"/>
      <c r="AL50" s="14"/>
      <c r="AM50" s="16"/>
      <c r="AN50" s="14"/>
      <c r="AO50" s="16"/>
      <c r="AP50" s="14"/>
    </row>
    <row r="51" customFormat="false" ht="35.05" hidden="false" customHeight="false" outlineLevel="0" collapsed="false">
      <c r="A51" s="14" t="s">
        <v>1736</v>
      </c>
      <c r="B51" s="14" t="s">
        <v>1737</v>
      </c>
      <c r="C51" s="14" t="s">
        <v>1049</v>
      </c>
      <c r="D51" s="14" t="s">
        <v>1194</v>
      </c>
      <c r="E51" s="14" t="s">
        <v>750</v>
      </c>
      <c r="F51" s="14" t="s">
        <v>659</v>
      </c>
      <c r="G51" s="14" t="s">
        <v>82</v>
      </c>
      <c r="H51" s="14" t="s">
        <v>1551</v>
      </c>
      <c r="I51" s="14" t="n">
        <v>14</v>
      </c>
      <c r="J51" s="5" t="s">
        <v>1728</v>
      </c>
      <c r="K51" s="14" t="s">
        <v>1729</v>
      </c>
      <c r="L51" s="14" t="s">
        <v>1738</v>
      </c>
      <c r="M51" s="14"/>
      <c r="N51" s="14"/>
      <c r="O51" s="14" t="s">
        <v>658</v>
      </c>
      <c r="P51" s="14" t="s">
        <v>658</v>
      </c>
      <c r="Q51" s="14"/>
      <c r="R51" s="14" t="s">
        <v>658</v>
      </c>
      <c r="S51" s="14" t="s">
        <v>659</v>
      </c>
      <c r="T51" s="14" t="s">
        <v>659</v>
      </c>
      <c r="U51" s="14" t="s">
        <v>659</v>
      </c>
      <c r="V51" s="14" t="s">
        <v>659</v>
      </c>
      <c r="W51" s="14" t="s">
        <v>659</v>
      </c>
      <c r="X51" s="14" t="s">
        <v>659</v>
      </c>
      <c r="Y51" s="14" t="s">
        <v>659</v>
      </c>
      <c r="Z51" s="14" t="s">
        <v>659</v>
      </c>
      <c r="AA51" s="16"/>
      <c r="AB51" s="14" t="s">
        <v>1623</v>
      </c>
      <c r="AC51" s="16"/>
      <c r="AD51" s="14"/>
      <c r="AE51" s="14" t="s">
        <v>687</v>
      </c>
      <c r="AF51" s="14" t="s">
        <v>691</v>
      </c>
      <c r="AG51" s="14" t="s">
        <v>693</v>
      </c>
      <c r="AH51" s="14" t="s">
        <v>982</v>
      </c>
      <c r="AI51" s="14"/>
      <c r="AJ51" s="14"/>
      <c r="AK51" s="14"/>
      <c r="AL51" s="14"/>
      <c r="AM51" s="16"/>
      <c r="AN51" s="14"/>
      <c r="AO51" s="16"/>
      <c r="AP51" s="5" t="s">
        <v>1739</v>
      </c>
    </row>
    <row r="52" customFormat="false" ht="23.85" hidden="false" customHeight="false" outlineLevel="0" collapsed="false">
      <c r="A52" s="14" t="s">
        <v>1740</v>
      </c>
      <c r="B52" s="14" t="s">
        <v>1741</v>
      </c>
      <c r="C52" s="14" t="s">
        <v>1049</v>
      </c>
      <c r="D52" s="14" t="s">
        <v>1194</v>
      </c>
      <c r="E52" s="14" t="s">
        <v>750</v>
      </c>
      <c r="F52" s="14" t="s">
        <v>659</v>
      </c>
      <c r="G52" s="14" t="s">
        <v>82</v>
      </c>
      <c r="H52" s="14" t="s">
        <v>1551</v>
      </c>
      <c r="I52" s="14" t="n">
        <v>14</v>
      </c>
      <c r="J52" s="14" t="s">
        <v>1742</v>
      </c>
      <c r="K52" s="14" t="s">
        <v>1729</v>
      </c>
      <c r="L52" s="14" t="s">
        <v>1730</v>
      </c>
      <c r="M52" s="14"/>
      <c r="N52" s="14"/>
      <c r="O52" s="14" t="s">
        <v>659</v>
      </c>
      <c r="P52" s="14" t="s">
        <v>659</v>
      </c>
      <c r="Q52" s="14"/>
      <c r="R52" s="14" t="s">
        <v>659</v>
      </c>
      <c r="S52" s="14" t="s">
        <v>659</v>
      </c>
      <c r="T52" s="14" t="s">
        <v>659</v>
      </c>
      <c r="U52" s="14" t="s">
        <v>659</v>
      </c>
      <c r="V52" s="14" t="s">
        <v>659</v>
      </c>
      <c r="W52" s="14" t="s">
        <v>659</v>
      </c>
      <c r="X52" s="14" t="s">
        <v>659</v>
      </c>
      <c r="Y52" s="14" t="s">
        <v>659</v>
      </c>
      <c r="Z52" s="14" t="s">
        <v>659</v>
      </c>
      <c r="AA52" s="16"/>
      <c r="AB52" s="14" t="s">
        <v>1623</v>
      </c>
      <c r="AC52" s="16"/>
      <c r="AD52" s="14"/>
      <c r="AE52" s="14" t="s">
        <v>687</v>
      </c>
      <c r="AF52" s="14" t="s">
        <v>691</v>
      </c>
      <c r="AG52" s="14" t="s">
        <v>693</v>
      </c>
      <c r="AH52" s="14" t="s">
        <v>982</v>
      </c>
      <c r="AI52" s="14"/>
      <c r="AJ52" s="14"/>
      <c r="AK52" s="14"/>
      <c r="AL52" s="14"/>
      <c r="AM52" s="16"/>
      <c r="AN52" s="14"/>
      <c r="AO52" s="16"/>
      <c r="AP52" s="5" t="s">
        <v>1743</v>
      </c>
    </row>
    <row r="53" customFormat="false" ht="15" hidden="false" customHeight="false" outlineLevel="0" collapsed="false">
      <c r="A53" s="14" t="s">
        <v>1744</v>
      </c>
      <c r="B53" s="14" t="s">
        <v>1745</v>
      </c>
      <c r="C53" s="14" t="s">
        <v>1049</v>
      </c>
      <c r="D53" s="14" t="s">
        <v>1194</v>
      </c>
      <c r="E53" s="14" t="s">
        <v>750</v>
      </c>
      <c r="F53" s="14" t="s">
        <v>659</v>
      </c>
      <c r="G53" s="14" t="s">
        <v>82</v>
      </c>
      <c r="H53" s="14" t="s">
        <v>1551</v>
      </c>
      <c r="I53" s="14" t="n">
        <v>14</v>
      </c>
      <c r="J53" s="14" t="s">
        <v>1746</v>
      </c>
      <c r="K53" s="14" t="s">
        <v>1729</v>
      </c>
      <c r="L53" s="14"/>
      <c r="M53" s="14"/>
      <c r="N53" s="14"/>
      <c r="O53" s="14" t="s">
        <v>658</v>
      </c>
      <c r="P53" s="14" t="s">
        <v>658</v>
      </c>
      <c r="Q53" s="14"/>
      <c r="R53" s="14" t="s">
        <v>658</v>
      </c>
      <c r="S53" s="14"/>
      <c r="T53" s="14"/>
      <c r="U53" s="14"/>
      <c r="V53" s="14"/>
      <c r="W53" s="14"/>
      <c r="X53" s="14"/>
      <c r="Y53" s="14" t="s">
        <v>658</v>
      </c>
      <c r="Z53" s="14" t="s">
        <v>658</v>
      </c>
      <c r="AA53" s="16"/>
      <c r="AB53" s="14"/>
      <c r="AC53" s="16"/>
      <c r="AD53" s="14"/>
      <c r="AE53" s="14" t="s">
        <v>687</v>
      </c>
      <c r="AF53" s="14" t="s">
        <v>691</v>
      </c>
      <c r="AG53" s="14" t="s">
        <v>693</v>
      </c>
      <c r="AH53" s="14" t="s">
        <v>982</v>
      </c>
      <c r="AI53" s="14"/>
      <c r="AJ53" s="14"/>
      <c r="AK53" s="14"/>
      <c r="AL53" s="14"/>
      <c r="AM53" s="16"/>
      <c r="AN53" s="14"/>
      <c r="AO53" s="16"/>
      <c r="AP53" s="14" t="s">
        <v>1747</v>
      </c>
    </row>
    <row r="54" customFormat="false" ht="15" hidden="false" customHeight="false" outlineLevel="0" collapsed="false">
      <c r="A54" s="14" t="s">
        <v>1748</v>
      </c>
      <c r="B54" s="14" t="s">
        <v>1749</v>
      </c>
      <c r="C54" s="14" t="s">
        <v>1049</v>
      </c>
      <c r="D54" s="14" t="s">
        <v>1194</v>
      </c>
      <c r="E54" s="14" t="s">
        <v>750</v>
      </c>
      <c r="F54" s="14" t="s">
        <v>659</v>
      </c>
      <c r="G54" s="14" t="s">
        <v>82</v>
      </c>
      <c r="H54" s="14" t="s">
        <v>1551</v>
      </c>
      <c r="I54" s="14" t="n">
        <v>14</v>
      </c>
      <c r="J54" s="14" t="s">
        <v>1750</v>
      </c>
      <c r="K54" s="14" t="s">
        <v>1729</v>
      </c>
      <c r="L54" s="14" t="s">
        <v>1751</v>
      </c>
      <c r="M54" s="14"/>
      <c r="N54" s="14"/>
      <c r="O54" s="14" t="s">
        <v>658</v>
      </c>
      <c r="P54" s="14" t="s">
        <v>658</v>
      </c>
      <c r="Q54" s="14"/>
      <c r="R54" s="14" t="s">
        <v>659</v>
      </c>
      <c r="S54" s="14" t="s">
        <v>658</v>
      </c>
      <c r="T54" s="14" t="s">
        <v>658</v>
      </c>
      <c r="U54" s="14" t="s">
        <v>658</v>
      </c>
      <c r="V54" s="14" t="s">
        <v>658</v>
      </c>
      <c r="W54" s="14" t="s">
        <v>658</v>
      </c>
      <c r="X54" s="14" t="s">
        <v>659</v>
      </c>
      <c r="Y54" s="14" t="s">
        <v>659</v>
      </c>
      <c r="Z54" s="14" t="s">
        <v>659</v>
      </c>
      <c r="AA54" s="16"/>
      <c r="AB54" s="14"/>
      <c r="AC54" s="16"/>
      <c r="AD54" s="14"/>
      <c r="AE54" s="14" t="s">
        <v>687</v>
      </c>
      <c r="AF54" s="14" t="s">
        <v>691</v>
      </c>
      <c r="AG54" s="14" t="s">
        <v>693</v>
      </c>
      <c r="AH54" s="14" t="s">
        <v>982</v>
      </c>
      <c r="AI54" s="14"/>
      <c r="AJ54" s="14"/>
      <c r="AK54" s="14"/>
      <c r="AL54" s="14"/>
      <c r="AM54" s="16"/>
      <c r="AN54" s="14"/>
      <c r="AO54" s="16"/>
      <c r="AP54" s="14" t="s">
        <v>1752</v>
      </c>
    </row>
    <row r="55" customFormat="false" ht="15" hidden="false" customHeight="false" outlineLevel="0" collapsed="false">
      <c r="A55" s="14" t="s">
        <v>1753</v>
      </c>
      <c r="B55" s="14" t="s">
        <v>1754</v>
      </c>
      <c r="C55" s="14" t="s">
        <v>1049</v>
      </c>
      <c r="D55" s="14" t="s">
        <v>1194</v>
      </c>
      <c r="E55" s="14" t="s">
        <v>750</v>
      </c>
      <c r="F55" s="14" t="s">
        <v>659</v>
      </c>
      <c r="G55" s="14" t="s">
        <v>82</v>
      </c>
      <c r="H55" s="14" t="s">
        <v>1551</v>
      </c>
      <c r="I55" s="14" t="n">
        <v>14</v>
      </c>
      <c r="J55" s="14" t="s">
        <v>1755</v>
      </c>
      <c r="K55" s="14" t="s">
        <v>1729</v>
      </c>
      <c r="L55" s="14" t="s">
        <v>1751</v>
      </c>
      <c r="M55" s="14"/>
      <c r="N55" s="14"/>
      <c r="O55" s="14" t="s">
        <v>658</v>
      </c>
      <c r="P55" s="14" t="s">
        <v>658</v>
      </c>
      <c r="Q55" s="14"/>
      <c r="R55" s="14" t="s">
        <v>659</v>
      </c>
      <c r="S55" s="14"/>
      <c r="T55" s="14"/>
      <c r="U55" s="14"/>
      <c r="V55" s="14"/>
      <c r="W55" s="14"/>
      <c r="X55" s="14"/>
      <c r="Y55" s="14" t="s">
        <v>658</v>
      </c>
      <c r="Z55" s="14" t="s">
        <v>658</v>
      </c>
      <c r="AA55" s="16"/>
      <c r="AB55" s="14"/>
      <c r="AC55" s="16"/>
      <c r="AD55" s="14"/>
      <c r="AE55" s="14" t="s">
        <v>687</v>
      </c>
      <c r="AF55" s="14" t="s">
        <v>691</v>
      </c>
      <c r="AG55" s="14" t="s">
        <v>693</v>
      </c>
      <c r="AH55" s="14" t="s">
        <v>982</v>
      </c>
      <c r="AI55" s="14"/>
      <c r="AJ55" s="14"/>
      <c r="AK55" s="14"/>
      <c r="AL55" s="14"/>
      <c r="AM55" s="16"/>
      <c r="AN55" s="14"/>
      <c r="AO55" s="16"/>
      <c r="AP55" s="14" t="s">
        <v>1756</v>
      </c>
    </row>
    <row r="56" customFormat="false" ht="23.85" hidden="false" customHeight="false" outlineLevel="0" collapsed="false">
      <c r="A56" s="14" t="s">
        <v>1757</v>
      </c>
      <c r="B56" s="14" t="s">
        <v>1758</v>
      </c>
      <c r="C56" s="14" t="s">
        <v>1060</v>
      </c>
      <c r="D56" s="14" t="s">
        <v>1207</v>
      </c>
      <c r="E56" s="14" t="s">
        <v>750</v>
      </c>
      <c r="F56" s="14" t="s">
        <v>659</v>
      </c>
      <c r="G56" s="14" t="s">
        <v>82</v>
      </c>
      <c r="H56" s="14" t="s">
        <v>1551</v>
      </c>
      <c r="I56" s="14" t="n">
        <v>14</v>
      </c>
      <c r="J56" s="14" t="s">
        <v>1759</v>
      </c>
      <c r="K56" s="14" t="s">
        <v>1760</v>
      </c>
      <c r="L56" s="14" t="s">
        <v>1761</v>
      </c>
      <c r="M56" s="14"/>
      <c r="N56" s="14"/>
      <c r="O56" s="14" t="s">
        <v>659</v>
      </c>
      <c r="P56" s="14" t="s">
        <v>659</v>
      </c>
      <c r="Q56" s="14" t="s">
        <v>659</v>
      </c>
      <c r="R56" s="14" t="s">
        <v>659</v>
      </c>
      <c r="S56" s="14" t="s">
        <v>659</v>
      </c>
      <c r="T56" s="14" t="s">
        <v>659</v>
      </c>
      <c r="U56" s="14" t="s">
        <v>659</v>
      </c>
      <c r="V56" s="14" t="s">
        <v>659</v>
      </c>
      <c r="W56" s="14" t="s">
        <v>659</v>
      </c>
      <c r="X56" s="14" t="s">
        <v>659</v>
      </c>
      <c r="Y56" s="14" t="s">
        <v>659</v>
      </c>
      <c r="Z56" s="14" t="s">
        <v>659</v>
      </c>
      <c r="AA56" s="16"/>
      <c r="AB56" s="14" t="s">
        <v>671</v>
      </c>
      <c r="AC56" s="16" t="n">
        <v>5</v>
      </c>
      <c r="AD56" s="14" t="s">
        <v>685</v>
      </c>
      <c r="AE56" s="14" t="s">
        <v>687</v>
      </c>
      <c r="AF56" s="14" t="s">
        <v>691</v>
      </c>
      <c r="AG56" s="14" t="s">
        <v>693</v>
      </c>
      <c r="AH56" s="14" t="s">
        <v>776</v>
      </c>
      <c r="AI56" s="14"/>
      <c r="AJ56" s="14"/>
      <c r="AK56" s="14"/>
      <c r="AL56" s="14"/>
      <c r="AM56" s="16"/>
      <c r="AN56" s="14"/>
      <c r="AO56" s="16"/>
      <c r="AP56" s="5" t="s">
        <v>1762</v>
      </c>
    </row>
    <row r="57" customFormat="false" ht="23.85" hidden="false" customHeight="false" outlineLevel="0" collapsed="false">
      <c r="A57" s="14" t="s">
        <v>1763</v>
      </c>
      <c r="B57" s="14" t="s">
        <v>1764</v>
      </c>
      <c r="C57" s="14" t="s">
        <v>1060</v>
      </c>
      <c r="D57" s="14" t="s">
        <v>1207</v>
      </c>
      <c r="E57" s="14" t="s">
        <v>750</v>
      </c>
      <c r="F57" s="14" t="s">
        <v>659</v>
      </c>
      <c r="G57" s="14" t="s">
        <v>82</v>
      </c>
      <c r="H57" s="14" t="s">
        <v>1551</v>
      </c>
      <c r="I57" s="14" t="n">
        <v>14</v>
      </c>
      <c r="J57" s="14" t="s">
        <v>1765</v>
      </c>
      <c r="K57" s="14" t="s">
        <v>1760</v>
      </c>
      <c r="L57" s="14" t="s">
        <v>1766</v>
      </c>
      <c r="M57" s="14"/>
      <c r="N57" s="14"/>
      <c r="O57" s="14" t="s">
        <v>659</v>
      </c>
      <c r="P57" s="14" t="s">
        <v>659</v>
      </c>
      <c r="Q57" s="14" t="s">
        <v>659</v>
      </c>
      <c r="R57" s="14" t="s">
        <v>659</v>
      </c>
      <c r="S57" s="14" t="s">
        <v>659</v>
      </c>
      <c r="T57" s="14" t="s">
        <v>659</v>
      </c>
      <c r="U57" s="14" t="s">
        <v>659</v>
      </c>
      <c r="V57" s="14" t="s">
        <v>659</v>
      </c>
      <c r="W57" s="14" t="s">
        <v>659</v>
      </c>
      <c r="X57" s="14" t="s">
        <v>659</v>
      </c>
      <c r="Y57" s="14" t="s">
        <v>659</v>
      </c>
      <c r="Z57" s="14" t="s">
        <v>658</v>
      </c>
      <c r="AA57" s="16" t="n">
        <v>3.8</v>
      </c>
      <c r="AB57" s="14"/>
      <c r="AC57" s="16"/>
      <c r="AD57" s="14" t="s">
        <v>685</v>
      </c>
      <c r="AE57" s="14" t="s">
        <v>687</v>
      </c>
      <c r="AF57" s="14" t="s">
        <v>691</v>
      </c>
      <c r="AG57" s="14" t="s">
        <v>693</v>
      </c>
      <c r="AH57" s="14" t="s">
        <v>776</v>
      </c>
      <c r="AI57" s="14"/>
      <c r="AJ57" s="14"/>
      <c r="AK57" s="14"/>
      <c r="AL57" s="14"/>
      <c r="AM57" s="16"/>
      <c r="AN57" s="14"/>
      <c r="AO57" s="16"/>
      <c r="AP57" s="5" t="s">
        <v>1767</v>
      </c>
    </row>
    <row r="58" customFormat="false" ht="15" hidden="false" customHeight="false" outlineLevel="0" collapsed="false">
      <c r="A58" s="14" t="s">
        <v>1768</v>
      </c>
      <c r="B58" s="14" t="s">
        <v>1769</v>
      </c>
      <c r="C58" s="14" t="s">
        <v>1060</v>
      </c>
      <c r="D58" s="14" t="s">
        <v>1207</v>
      </c>
      <c r="E58" s="14" t="s">
        <v>750</v>
      </c>
      <c r="F58" s="14" t="s">
        <v>659</v>
      </c>
      <c r="G58" s="14" t="s">
        <v>82</v>
      </c>
      <c r="H58" s="14" t="s">
        <v>1551</v>
      </c>
      <c r="I58" s="14" t="n">
        <v>14</v>
      </c>
      <c r="J58" s="14" t="s">
        <v>1770</v>
      </c>
      <c r="K58" s="14" t="s">
        <v>1760</v>
      </c>
      <c r="L58" s="14" t="s">
        <v>1766</v>
      </c>
      <c r="M58" s="14"/>
      <c r="N58" s="14"/>
      <c r="O58" s="14" t="s">
        <v>658</v>
      </c>
      <c r="P58" s="14" t="s">
        <v>659</v>
      </c>
      <c r="Q58" s="14" t="s">
        <v>659</v>
      </c>
      <c r="R58" s="14" t="s">
        <v>658</v>
      </c>
      <c r="S58" s="14" t="s">
        <v>659</v>
      </c>
      <c r="T58" s="14" t="s">
        <v>659</v>
      </c>
      <c r="U58" s="14" t="s">
        <v>659</v>
      </c>
      <c r="V58" s="14" t="s">
        <v>659</v>
      </c>
      <c r="W58" s="14" t="s">
        <v>659</v>
      </c>
      <c r="X58" s="14" t="s">
        <v>659</v>
      </c>
      <c r="Y58" s="14" t="s">
        <v>659</v>
      </c>
      <c r="Z58" s="14" t="s">
        <v>658</v>
      </c>
      <c r="AA58" s="16" t="n">
        <v>3.8</v>
      </c>
      <c r="AB58" s="14"/>
      <c r="AC58" s="16"/>
      <c r="AD58" s="14" t="s">
        <v>685</v>
      </c>
      <c r="AE58" s="14" t="s">
        <v>687</v>
      </c>
      <c r="AF58" s="14" t="s">
        <v>691</v>
      </c>
      <c r="AG58" s="14" t="s">
        <v>693</v>
      </c>
      <c r="AH58" s="14" t="s">
        <v>776</v>
      </c>
      <c r="AI58" s="14"/>
      <c r="AJ58" s="14"/>
      <c r="AK58" s="14"/>
      <c r="AL58" s="14"/>
      <c r="AM58" s="16"/>
      <c r="AN58" s="14"/>
      <c r="AO58" s="16"/>
      <c r="AP58" s="14" t="s">
        <v>1771</v>
      </c>
    </row>
    <row r="59" customFormat="false" ht="15" hidden="false" customHeight="false" outlineLevel="0" collapsed="false">
      <c r="A59" s="14" t="s">
        <v>1772</v>
      </c>
      <c r="B59" s="14" t="s">
        <v>1773</v>
      </c>
      <c r="C59" s="14" t="s">
        <v>1060</v>
      </c>
      <c r="D59" s="14" t="s">
        <v>1207</v>
      </c>
      <c r="E59" s="14" t="s">
        <v>750</v>
      </c>
      <c r="F59" s="14" t="s">
        <v>659</v>
      </c>
      <c r="G59" s="14" t="s">
        <v>82</v>
      </c>
      <c r="H59" s="14" t="s">
        <v>1551</v>
      </c>
      <c r="I59" s="14" t="n">
        <v>14</v>
      </c>
      <c r="J59" s="14" t="s">
        <v>1774</v>
      </c>
      <c r="K59" s="14" t="s">
        <v>1760</v>
      </c>
      <c r="L59" s="14" t="s">
        <v>1775</v>
      </c>
      <c r="M59" s="14"/>
      <c r="N59" s="14"/>
      <c r="O59" s="14" t="s">
        <v>659</v>
      </c>
      <c r="P59" s="14" t="s">
        <v>659</v>
      </c>
      <c r="Q59" s="14" t="s">
        <v>659</v>
      </c>
      <c r="R59" s="14" t="s">
        <v>659</v>
      </c>
      <c r="S59" s="14" t="s">
        <v>659</v>
      </c>
      <c r="T59" s="14" t="s">
        <v>659</v>
      </c>
      <c r="U59" s="14" t="s">
        <v>659</v>
      </c>
      <c r="V59" s="14" t="s">
        <v>659</v>
      </c>
      <c r="W59" s="14" t="s">
        <v>659</v>
      </c>
      <c r="X59" s="14" t="s">
        <v>659</v>
      </c>
      <c r="Y59" s="14" t="s">
        <v>659</v>
      </c>
      <c r="Z59" s="14" t="s">
        <v>659</v>
      </c>
      <c r="AA59" s="16" t="n">
        <v>0</v>
      </c>
      <c r="AB59" s="14"/>
      <c r="AC59" s="16"/>
      <c r="AD59" s="14" t="s">
        <v>685</v>
      </c>
      <c r="AE59" s="14" t="s">
        <v>687</v>
      </c>
      <c r="AF59" s="14" t="s">
        <v>691</v>
      </c>
      <c r="AG59" s="14" t="s">
        <v>693</v>
      </c>
      <c r="AH59" s="14" t="s">
        <v>776</v>
      </c>
      <c r="AI59" s="14"/>
      <c r="AJ59" s="14"/>
      <c r="AK59" s="14"/>
      <c r="AL59" s="14"/>
      <c r="AM59" s="16"/>
      <c r="AN59" s="14"/>
      <c r="AO59" s="16"/>
      <c r="AP59" s="14" t="s">
        <v>1776</v>
      </c>
    </row>
    <row r="60" customFormat="false" ht="15" hidden="false" customHeight="false" outlineLevel="0" collapsed="false">
      <c r="A60" s="14" t="s">
        <v>1777</v>
      </c>
      <c r="B60" s="14" t="s">
        <v>1778</v>
      </c>
      <c r="C60" s="14" t="s">
        <v>1060</v>
      </c>
      <c r="D60" s="14" t="s">
        <v>1207</v>
      </c>
      <c r="E60" s="14" t="s">
        <v>750</v>
      </c>
      <c r="F60" s="14" t="s">
        <v>659</v>
      </c>
      <c r="G60" s="14" t="s">
        <v>82</v>
      </c>
      <c r="H60" s="14" t="s">
        <v>1551</v>
      </c>
      <c r="I60" s="14" t="n">
        <v>14</v>
      </c>
      <c r="J60" s="14" t="s">
        <v>1779</v>
      </c>
      <c r="K60" s="14" t="s">
        <v>1760</v>
      </c>
      <c r="L60" s="14" t="s">
        <v>1780</v>
      </c>
      <c r="M60" s="14"/>
      <c r="N60" s="14"/>
      <c r="O60" s="14" t="s">
        <v>659</v>
      </c>
      <c r="P60" s="14" t="s">
        <v>659</v>
      </c>
      <c r="Q60" s="14" t="s">
        <v>659</v>
      </c>
      <c r="R60" s="14" t="s">
        <v>659</v>
      </c>
      <c r="S60" s="14" t="s">
        <v>659</v>
      </c>
      <c r="T60" s="14" t="s">
        <v>659</v>
      </c>
      <c r="U60" s="14" t="s">
        <v>659</v>
      </c>
      <c r="V60" s="14" t="s">
        <v>659</v>
      </c>
      <c r="W60" s="14" t="s">
        <v>659</v>
      </c>
      <c r="X60" s="14" t="s">
        <v>659</v>
      </c>
      <c r="Y60" s="14" t="s">
        <v>659</v>
      </c>
      <c r="Z60" s="14" t="s">
        <v>659</v>
      </c>
      <c r="AA60" s="16"/>
      <c r="AB60" s="14"/>
      <c r="AC60" s="16"/>
      <c r="AD60" s="14" t="s">
        <v>685</v>
      </c>
      <c r="AE60" s="14" t="s">
        <v>687</v>
      </c>
      <c r="AF60" s="14" t="s">
        <v>691</v>
      </c>
      <c r="AG60" s="14" t="s">
        <v>693</v>
      </c>
      <c r="AH60" s="14" t="s">
        <v>776</v>
      </c>
      <c r="AI60" s="14"/>
      <c r="AJ60" s="14"/>
      <c r="AK60" s="14"/>
      <c r="AL60" s="14"/>
      <c r="AM60" s="16"/>
      <c r="AN60" s="14"/>
      <c r="AO60" s="16"/>
      <c r="AP60" s="14"/>
    </row>
    <row r="61" customFormat="false" ht="15" hidden="false" customHeight="false" outlineLevel="0" collapsed="false">
      <c r="A61" s="14" t="s">
        <v>1781</v>
      </c>
      <c r="B61" s="14" t="s">
        <v>1782</v>
      </c>
      <c r="C61" s="14" t="s">
        <v>1060</v>
      </c>
      <c r="D61" s="14" t="s">
        <v>1207</v>
      </c>
      <c r="E61" s="14" t="s">
        <v>750</v>
      </c>
      <c r="F61" s="14" t="s">
        <v>659</v>
      </c>
      <c r="G61" s="14" t="s">
        <v>82</v>
      </c>
      <c r="H61" s="14" t="s">
        <v>1551</v>
      </c>
      <c r="I61" s="14" t="n">
        <v>14</v>
      </c>
      <c r="J61" s="14" t="s">
        <v>1783</v>
      </c>
      <c r="K61" s="14" t="s">
        <v>1760</v>
      </c>
      <c r="L61" s="14" t="s">
        <v>1784</v>
      </c>
      <c r="M61" s="14"/>
      <c r="N61" s="14"/>
      <c r="O61" s="14" t="s">
        <v>659</v>
      </c>
      <c r="P61" s="14" t="s">
        <v>659</v>
      </c>
      <c r="Q61" s="14" t="s">
        <v>659</v>
      </c>
      <c r="R61" s="14" t="s">
        <v>659</v>
      </c>
      <c r="S61" s="14" t="s">
        <v>659</v>
      </c>
      <c r="T61" s="14" t="s">
        <v>659</v>
      </c>
      <c r="U61" s="14" t="s">
        <v>659</v>
      </c>
      <c r="V61" s="14" t="s">
        <v>659</v>
      </c>
      <c r="W61" s="14" t="s">
        <v>659</v>
      </c>
      <c r="X61" s="14" t="s">
        <v>659</v>
      </c>
      <c r="Y61" s="14" t="s">
        <v>659</v>
      </c>
      <c r="Z61" s="14" t="s">
        <v>659</v>
      </c>
      <c r="AA61" s="16"/>
      <c r="AB61" s="14"/>
      <c r="AC61" s="16"/>
      <c r="AD61" s="14" t="s">
        <v>685</v>
      </c>
      <c r="AE61" s="14" t="s">
        <v>687</v>
      </c>
      <c r="AF61" s="14" t="s">
        <v>691</v>
      </c>
      <c r="AG61" s="14" t="s">
        <v>693</v>
      </c>
      <c r="AH61" s="14" t="s">
        <v>776</v>
      </c>
      <c r="AI61" s="14"/>
      <c r="AJ61" s="14"/>
      <c r="AK61" s="14"/>
      <c r="AL61" s="14"/>
      <c r="AM61" s="16"/>
      <c r="AN61" s="14"/>
      <c r="AO61" s="16"/>
      <c r="AP61" s="14" t="s">
        <v>1785</v>
      </c>
    </row>
    <row r="62" customFormat="false" ht="15" hidden="false" customHeight="false" outlineLevel="0" collapsed="false">
      <c r="A62" s="14" t="s">
        <v>1786</v>
      </c>
      <c r="B62" s="14" t="s">
        <v>1787</v>
      </c>
      <c r="C62" s="14" t="s">
        <v>1060</v>
      </c>
      <c r="D62" s="14" t="s">
        <v>1207</v>
      </c>
      <c r="E62" s="14" t="s">
        <v>750</v>
      </c>
      <c r="F62" s="14" t="s">
        <v>659</v>
      </c>
      <c r="G62" s="14" t="s">
        <v>82</v>
      </c>
      <c r="H62" s="14" t="s">
        <v>1551</v>
      </c>
      <c r="I62" s="14" t="n">
        <v>14</v>
      </c>
      <c r="J62" s="14" t="s">
        <v>1788</v>
      </c>
      <c r="K62" s="14" t="s">
        <v>1760</v>
      </c>
      <c r="L62" s="14" t="s">
        <v>1789</v>
      </c>
      <c r="M62" s="14"/>
      <c r="N62" s="14"/>
      <c r="O62" s="14" t="s">
        <v>658</v>
      </c>
      <c r="P62" s="14" t="s">
        <v>658</v>
      </c>
      <c r="Q62" s="14" t="s">
        <v>658</v>
      </c>
      <c r="R62" s="14" t="s">
        <v>658</v>
      </c>
      <c r="S62" s="14" t="s">
        <v>658</v>
      </c>
      <c r="T62" s="14" t="s">
        <v>658</v>
      </c>
      <c r="U62" s="14" t="s">
        <v>659</v>
      </c>
      <c r="V62" s="14" t="s">
        <v>659</v>
      </c>
      <c r="W62" s="14" t="s">
        <v>659</v>
      </c>
      <c r="X62" s="14" t="s">
        <v>659</v>
      </c>
      <c r="Y62" s="14" t="s">
        <v>658</v>
      </c>
      <c r="Z62" s="14" t="s">
        <v>658</v>
      </c>
      <c r="AA62" s="16" t="n">
        <v>4.8</v>
      </c>
      <c r="AB62" s="14" t="s">
        <v>671</v>
      </c>
      <c r="AC62" s="16" t="n">
        <v>6.2</v>
      </c>
      <c r="AD62" s="14" t="s">
        <v>685</v>
      </c>
      <c r="AE62" s="14" t="s">
        <v>687</v>
      </c>
      <c r="AF62" s="14" t="s">
        <v>691</v>
      </c>
      <c r="AG62" s="14" t="s">
        <v>693</v>
      </c>
      <c r="AH62" s="14" t="s">
        <v>776</v>
      </c>
      <c r="AI62" s="14"/>
      <c r="AJ62" s="14"/>
      <c r="AK62" s="14"/>
      <c r="AL62" s="14"/>
      <c r="AM62" s="16"/>
      <c r="AN62" s="14"/>
      <c r="AO62" s="16"/>
      <c r="AP62" s="14" t="s">
        <v>1790</v>
      </c>
    </row>
    <row r="63" customFormat="false" ht="15" hidden="false" customHeight="false" outlineLevel="0" collapsed="false">
      <c r="A63" s="14" t="s">
        <v>1791</v>
      </c>
      <c r="B63" s="14" t="s">
        <v>1792</v>
      </c>
      <c r="C63" s="14" t="s">
        <v>1060</v>
      </c>
      <c r="D63" s="14" t="s">
        <v>1207</v>
      </c>
      <c r="E63" s="14" t="s">
        <v>750</v>
      </c>
      <c r="F63" s="14" t="s">
        <v>659</v>
      </c>
      <c r="G63" s="14" t="s">
        <v>82</v>
      </c>
      <c r="H63" s="14" t="s">
        <v>1551</v>
      </c>
      <c r="I63" s="14" t="n">
        <v>14</v>
      </c>
      <c r="J63" s="14" t="s">
        <v>1788</v>
      </c>
      <c r="K63" s="14" t="s">
        <v>1760</v>
      </c>
      <c r="L63" s="14" t="s">
        <v>1789</v>
      </c>
      <c r="M63" s="14"/>
      <c r="N63" s="14"/>
      <c r="O63" s="14" t="s">
        <v>658</v>
      </c>
      <c r="P63" s="14" t="s">
        <v>658</v>
      </c>
      <c r="Q63" s="14" t="s">
        <v>659</v>
      </c>
      <c r="R63" s="14" t="s">
        <v>658</v>
      </c>
      <c r="S63" s="14" t="s">
        <v>658</v>
      </c>
      <c r="T63" s="14" t="s">
        <v>658</v>
      </c>
      <c r="U63" s="14" t="s">
        <v>659</v>
      </c>
      <c r="V63" s="14" t="s">
        <v>659</v>
      </c>
      <c r="W63" s="14" t="s">
        <v>659</v>
      </c>
      <c r="X63" s="14" t="s">
        <v>659</v>
      </c>
      <c r="Y63" s="14" t="s">
        <v>659</v>
      </c>
      <c r="Z63" s="14" t="s">
        <v>659</v>
      </c>
      <c r="AA63" s="16" t="n">
        <v>4.8</v>
      </c>
      <c r="AB63" s="14" t="s">
        <v>671</v>
      </c>
      <c r="AC63" s="16" t="n">
        <v>6.2</v>
      </c>
      <c r="AD63" s="14" t="s">
        <v>685</v>
      </c>
      <c r="AE63" s="14" t="s">
        <v>687</v>
      </c>
      <c r="AF63" s="14" t="s">
        <v>691</v>
      </c>
      <c r="AG63" s="14" t="s">
        <v>693</v>
      </c>
      <c r="AH63" s="14" t="s">
        <v>776</v>
      </c>
      <c r="AI63" s="14"/>
      <c r="AJ63" s="14"/>
      <c r="AK63" s="14"/>
      <c r="AL63" s="14"/>
      <c r="AM63" s="16"/>
      <c r="AN63" s="14"/>
      <c r="AO63" s="16"/>
      <c r="AP63" s="14" t="s">
        <v>1793</v>
      </c>
    </row>
    <row r="64" customFormat="false" ht="15" hidden="false" customHeight="false" outlineLevel="0" collapsed="false">
      <c r="A64" s="14" t="s">
        <v>1794</v>
      </c>
      <c r="B64" s="14" t="s">
        <v>1795</v>
      </c>
      <c r="C64" s="14" t="s">
        <v>1060</v>
      </c>
      <c r="D64" s="14" t="s">
        <v>1207</v>
      </c>
      <c r="E64" s="14" t="s">
        <v>750</v>
      </c>
      <c r="F64" s="14" t="s">
        <v>659</v>
      </c>
      <c r="G64" s="14" t="s">
        <v>82</v>
      </c>
      <c r="H64" s="14" t="s">
        <v>1551</v>
      </c>
      <c r="I64" s="14" t="n">
        <v>14</v>
      </c>
      <c r="J64" s="14" t="s">
        <v>1788</v>
      </c>
      <c r="K64" s="14" t="s">
        <v>1760</v>
      </c>
      <c r="L64" s="14" t="s">
        <v>1796</v>
      </c>
      <c r="M64" s="14"/>
      <c r="N64" s="14"/>
      <c r="O64" s="14" t="s">
        <v>658</v>
      </c>
      <c r="P64" s="14" t="s">
        <v>658</v>
      </c>
      <c r="Q64" s="14" t="s">
        <v>659</v>
      </c>
      <c r="R64" s="14" t="s">
        <v>658</v>
      </c>
      <c r="S64" s="14" t="s">
        <v>658</v>
      </c>
      <c r="T64" s="14" t="s">
        <v>658</v>
      </c>
      <c r="U64" s="14" t="s">
        <v>659</v>
      </c>
      <c r="V64" s="14" t="s">
        <v>659</v>
      </c>
      <c r="W64" s="14" t="s">
        <v>659</v>
      </c>
      <c r="X64" s="14" t="s">
        <v>659</v>
      </c>
      <c r="Y64" s="14" t="s">
        <v>659</v>
      </c>
      <c r="Z64" s="14" t="s">
        <v>659</v>
      </c>
      <c r="AA64" s="16" t="n">
        <v>4.8</v>
      </c>
      <c r="AB64" s="14" t="s">
        <v>671</v>
      </c>
      <c r="AC64" s="16" t="n">
        <v>6.2</v>
      </c>
      <c r="AD64" s="14" t="s">
        <v>685</v>
      </c>
      <c r="AE64" s="14" t="s">
        <v>687</v>
      </c>
      <c r="AF64" s="14" t="s">
        <v>691</v>
      </c>
      <c r="AG64" s="14" t="s">
        <v>693</v>
      </c>
      <c r="AH64" s="14" t="s">
        <v>776</v>
      </c>
      <c r="AI64" s="14"/>
      <c r="AJ64" s="14"/>
      <c r="AK64" s="14"/>
      <c r="AL64" s="14"/>
      <c r="AM64" s="16"/>
      <c r="AN64" s="14"/>
      <c r="AO64" s="16"/>
      <c r="AP64" s="14" t="s">
        <v>1797</v>
      </c>
    </row>
    <row r="65" customFormat="false" ht="15" hidden="false" customHeight="false" outlineLevel="0" collapsed="false">
      <c r="A65" s="14" t="s">
        <v>1798</v>
      </c>
      <c r="B65" s="14" t="s">
        <v>1799</v>
      </c>
      <c r="C65" s="14" t="s">
        <v>1060</v>
      </c>
      <c r="D65" s="14" t="s">
        <v>1207</v>
      </c>
      <c r="E65" s="14" t="s">
        <v>750</v>
      </c>
      <c r="F65" s="14" t="s">
        <v>659</v>
      </c>
      <c r="G65" s="14" t="s">
        <v>82</v>
      </c>
      <c r="H65" s="14" t="s">
        <v>1551</v>
      </c>
      <c r="I65" s="14" t="n">
        <v>14</v>
      </c>
      <c r="J65" s="14" t="s">
        <v>1800</v>
      </c>
      <c r="K65" s="14" t="s">
        <v>1760</v>
      </c>
      <c r="L65" s="14" t="s">
        <v>1801</v>
      </c>
      <c r="M65" s="14"/>
      <c r="N65" s="14"/>
      <c r="O65" s="14" t="s">
        <v>658</v>
      </c>
      <c r="P65" s="14" t="s">
        <v>659</v>
      </c>
      <c r="Q65" s="14" t="s">
        <v>659</v>
      </c>
      <c r="R65" s="14" t="s">
        <v>659</v>
      </c>
      <c r="S65" s="14" t="s">
        <v>659</v>
      </c>
      <c r="T65" s="14" t="s">
        <v>659</v>
      </c>
      <c r="U65" s="14" t="s">
        <v>659</v>
      </c>
      <c r="V65" s="14" t="s">
        <v>659</v>
      </c>
      <c r="W65" s="14" t="s">
        <v>659</v>
      </c>
      <c r="X65" s="14" t="s">
        <v>659</v>
      </c>
      <c r="Y65" s="14" t="s">
        <v>659</v>
      </c>
      <c r="Z65" s="14" t="s">
        <v>659</v>
      </c>
      <c r="AA65" s="16"/>
      <c r="AB65" s="14"/>
      <c r="AC65" s="16"/>
      <c r="AD65" s="14" t="s">
        <v>685</v>
      </c>
      <c r="AE65" s="14" t="s">
        <v>687</v>
      </c>
      <c r="AF65" s="14" t="s">
        <v>690</v>
      </c>
      <c r="AG65" s="14" t="s">
        <v>693</v>
      </c>
      <c r="AH65" s="14" t="s">
        <v>776</v>
      </c>
      <c r="AI65" s="14"/>
      <c r="AJ65" s="14"/>
      <c r="AK65" s="14"/>
      <c r="AL65" s="14"/>
      <c r="AM65" s="16"/>
      <c r="AN65" s="14"/>
      <c r="AO65" s="16"/>
      <c r="AP65" s="14"/>
    </row>
    <row r="66" customFormat="false" ht="15" hidden="false" customHeight="false" outlineLevel="0" collapsed="false">
      <c r="A66" s="14" t="s">
        <v>1802</v>
      </c>
      <c r="B66" s="14" t="s">
        <v>1803</v>
      </c>
      <c r="C66" s="14" t="s">
        <v>1060</v>
      </c>
      <c r="D66" s="14" t="s">
        <v>1207</v>
      </c>
      <c r="E66" s="14" t="s">
        <v>750</v>
      </c>
      <c r="F66" s="14" t="s">
        <v>659</v>
      </c>
      <c r="G66" s="14" t="s">
        <v>82</v>
      </c>
      <c r="H66" s="14" t="s">
        <v>1551</v>
      </c>
      <c r="I66" s="14" t="n">
        <v>14</v>
      </c>
      <c r="J66" s="14" t="s">
        <v>1759</v>
      </c>
      <c r="K66" s="14" t="s">
        <v>1760</v>
      </c>
      <c r="L66" s="14" t="s">
        <v>1804</v>
      </c>
      <c r="M66" s="14"/>
      <c r="N66" s="14"/>
      <c r="O66" s="14" t="s">
        <v>659</v>
      </c>
      <c r="P66" s="14" t="s">
        <v>659</v>
      </c>
      <c r="Q66" s="14" t="s">
        <v>659</v>
      </c>
      <c r="R66" s="14" t="s">
        <v>659</v>
      </c>
      <c r="S66" s="14" t="s">
        <v>659</v>
      </c>
      <c r="T66" s="14" t="s">
        <v>659</v>
      </c>
      <c r="U66" s="14" t="s">
        <v>659</v>
      </c>
      <c r="V66" s="14" t="s">
        <v>659</v>
      </c>
      <c r="W66" s="14" t="s">
        <v>659</v>
      </c>
      <c r="X66" s="14" t="s">
        <v>659</v>
      </c>
      <c r="Y66" s="14" t="s">
        <v>659</v>
      </c>
      <c r="Z66" s="14" t="s">
        <v>659</v>
      </c>
      <c r="AA66" s="16"/>
      <c r="AB66" s="14"/>
      <c r="AC66" s="16"/>
      <c r="AD66" s="14" t="s">
        <v>685</v>
      </c>
      <c r="AE66" s="14" t="s">
        <v>687</v>
      </c>
      <c r="AF66" s="14"/>
      <c r="AG66" s="14"/>
      <c r="AH66" s="14"/>
      <c r="AI66" s="14"/>
      <c r="AJ66" s="14"/>
      <c r="AK66" s="14"/>
      <c r="AL66" s="14"/>
      <c r="AM66" s="16"/>
      <c r="AN66" s="14"/>
      <c r="AO66" s="16"/>
      <c r="AP66" s="5" t="s">
        <v>1805</v>
      </c>
    </row>
    <row r="67" customFormat="false" ht="15" hidden="false" customHeight="false" outlineLevel="0" collapsed="false">
      <c r="A67" s="14" t="s">
        <v>1806</v>
      </c>
      <c r="B67" s="14" t="s">
        <v>1807</v>
      </c>
      <c r="C67" s="14" t="s">
        <v>1060</v>
      </c>
      <c r="D67" s="14" t="s">
        <v>1207</v>
      </c>
      <c r="E67" s="14" t="s">
        <v>750</v>
      </c>
      <c r="F67" s="14" t="s">
        <v>659</v>
      </c>
      <c r="G67" s="14" t="s">
        <v>82</v>
      </c>
      <c r="H67" s="14" t="s">
        <v>1551</v>
      </c>
      <c r="I67" s="14" t="n">
        <v>14</v>
      </c>
      <c r="J67" s="14" t="s">
        <v>1808</v>
      </c>
      <c r="K67" s="14" t="s">
        <v>1760</v>
      </c>
      <c r="L67" s="14" t="s">
        <v>1809</v>
      </c>
      <c r="M67" s="14"/>
      <c r="N67" s="14"/>
      <c r="O67" s="14" t="s">
        <v>658</v>
      </c>
      <c r="P67" s="14" t="s">
        <v>658</v>
      </c>
      <c r="Q67" s="14" t="s">
        <v>659</v>
      </c>
      <c r="R67" s="14" t="s">
        <v>659</v>
      </c>
      <c r="S67" s="14" t="s">
        <v>659</v>
      </c>
      <c r="T67" s="14" t="s">
        <v>659</v>
      </c>
      <c r="U67" s="14" t="s">
        <v>659</v>
      </c>
      <c r="V67" s="14" t="s">
        <v>659</v>
      </c>
      <c r="W67" s="14" t="s">
        <v>659</v>
      </c>
      <c r="X67" s="14" t="s">
        <v>659</v>
      </c>
      <c r="Y67" s="14" t="s">
        <v>659</v>
      </c>
      <c r="Z67" s="14" t="s">
        <v>659</v>
      </c>
      <c r="AA67" s="16" t="n">
        <v>3.8</v>
      </c>
      <c r="AB67" s="14"/>
      <c r="AC67" s="16"/>
      <c r="AD67" s="14" t="s">
        <v>685</v>
      </c>
      <c r="AE67" s="14" t="s">
        <v>687</v>
      </c>
      <c r="AF67" s="14" t="s">
        <v>691</v>
      </c>
      <c r="AG67" s="14" t="s">
        <v>693</v>
      </c>
      <c r="AH67" s="14" t="s">
        <v>776</v>
      </c>
      <c r="AI67" s="14"/>
      <c r="AJ67" s="14"/>
      <c r="AK67" s="14"/>
      <c r="AL67" s="14"/>
      <c r="AM67" s="16"/>
      <c r="AN67" s="14"/>
      <c r="AO67" s="16"/>
      <c r="AP67" s="14"/>
    </row>
    <row r="68" customFormat="false" ht="15" hidden="false" customHeight="false" outlineLevel="0" collapsed="false">
      <c r="A68" s="14" t="s">
        <v>1810</v>
      </c>
      <c r="B68" s="14" t="s">
        <v>1811</v>
      </c>
      <c r="C68" s="14" t="s">
        <v>1060</v>
      </c>
      <c r="D68" s="14" t="s">
        <v>1207</v>
      </c>
      <c r="E68" s="14" t="s">
        <v>750</v>
      </c>
      <c r="F68" s="14" t="s">
        <v>659</v>
      </c>
      <c r="G68" s="14" t="s">
        <v>82</v>
      </c>
      <c r="H68" s="14" t="s">
        <v>1551</v>
      </c>
      <c r="I68" s="14" t="n">
        <v>14</v>
      </c>
      <c r="J68" s="14" t="s">
        <v>1812</v>
      </c>
      <c r="K68" s="14" t="s">
        <v>1760</v>
      </c>
      <c r="L68" s="14" t="s">
        <v>1813</v>
      </c>
      <c r="M68" s="14"/>
      <c r="N68" s="14"/>
      <c r="O68" s="14" t="s">
        <v>659</v>
      </c>
      <c r="P68" s="14" t="s">
        <v>659</v>
      </c>
      <c r="Q68" s="14" t="s">
        <v>659</v>
      </c>
      <c r="R68" s="14" t="s">
        <v>659</v>
      </c>
      <c r="S68" s="14" t="s">
        <v>659</v>
      </c>
      <c r="T68" s="14" t="s">
        <v>659</v>
      </c>
      <c r="U68" s="14" t="s">
        <v>659</v>
      </c>
      <c r="V68" s="14" t="s">
        <v>659</v>
      </c>
      <c r="W68" s="14" t="s">
        <v>659</v>
      </c>
      <c r="X68" s="14" t="s">
        <v>659</v>
      </c>
      <c r="Y68" s="14" t="s">
        <v>659</v>
      </c>
      <c r="Z68" s="14" t="s">
        <v>659</v>
      </c>
      <c r="AA68" s="16"/>
      <c r="AB68" s="14"/>
      <c r="AC68" s="16"/>
      <c r="AD68" s="14" t="s">
        <v>685</v>
      </c>
      <c r="AE68" s="14" t="s">
        <v>687</v>
      </c>
      <c r="AF68" s="14" t="s">
        <v>691</v>
      </c>
      <c r="AG68" s="14" t="s">
        <v>693</v>
      </c>
      <c r="AH68" s="14" t="s">
        <v>776</v>
      </c>
      <c r="AI68" s="14"/>
      <c r="AJ68" s="14"/>
      <c r="AK68" s="14"/>
      <c r="AL68" s="14"/>
      <c r="AM68" s="16"/>
      <c r="AN68" s="14"/>
      <c r="AO68" s="16"/>
      <c r="AP68" s="14"/>
    </row>
    <row r="69" customFormat="false" ht="15" hidden="false" customHeight="false" outlineLevel="0" collapsed="false">
      <c r="A69" s="14" t="s">
        <v>1814</v>
      </c>
      <c r="B69" s="14" t="s">
        <v>1815</v>
      </c>
      <c r="C69" s="14" t="s">
        <v>1060</v>
      </c>
      <c r="D69" s="14" t="s">
        <v>1207</v>
      </c>
      <c r="E69" s="14" t="s">
        <v>750</v>
      </c>
      <c r="F69" s="14" t="s">
        <v>659</v>
      </c>
      <c r="G69" s="14" t="s">
        <v>82</v>
      </c>
      <c r="H69" s="14" t="s">
        <v>1551</v>
      </c>
      <c r="I69" s="14" t="n">
        <v>14</v>
      </c>
      <c r="J69" s="14" t="s">
        <v>1816</v>
      </c>
      <c r="K69" s="14" t="s">
        <v>1760</v>
      </c>
      <c r="L69" s="14" t="s">
        <v>1813</v>
      </c>
      <c r="M69" s="14"/>
      <c r="N69" s="14"/>
      <c r="O69" s="14" t="s">
        <v>659</v>
      </c>
      <c r="P69" s="14" t="s">
        <v>659</v>
      </c>
      <c r="Q69" s="14" t="s">
        <v>659</v>
      </c>
      <c r="R69" s="14" t="s">
        <v>659</v>
      </c>
      <c r="S69" s="14" t="s">
        <v>659</v>
      </c>
      <c r="T69" s="14" t="s">
        <v>659</v>
      </c>
      <c r="U69" s="14" t="s">
        <v>659</v>
      </c>
      <c r="V69" s="14" t="s">
        <v>659</v>
      </c>
      <c r="W69" s="14" t="s">
        <v>659</v>
      </c>
      <c r="X69" s="14" t="s">
        <v>659</v>
      </c>
      <c r="Y69" s="14" t="s">
        <v>659</v>
      </c>
      <c r="Z69" s="14" t="s">
        <v>659</v>
      </c>
      <c r="AA69" s="16"/>
      <c r="AB69" s="14"/>
      <c r="AC69" s="16"/>
      <c r="AD69" s="14" t="s">
        <v>685</v>
      </c>
      <c r="AE69" s="14" t="s">
        <v>687</v>
      </c>
      <c r="AF69" s="14" t="s">
        <v>691</v>
      </c>
      <c r="AG69" s="14" t="s">
        <v>693</v>
      </c>
      <c r="AH69" s="14" t="s">
        <v>776</v>
      </c>
      <c r="AI69" s="14"/>
      <c r="AJ69" s="14"/>
      <c r="AK69" s="14"/>
      <c r="AL69" s="14"/>
      <c r="AM69" s="16"/>
      <c r="AN69" s="14"/>
      <c r="AO69" s="16"/>
      <c r="AP69" s="14"/>
    </row>
    <row r="70" customFormat="false" ht="15" hidden="false" customHeight="false" outlineLevel="0" collapsed="false">
      <c r="A70" s="14" t="s">
        <v>1817</v>
      </c>
      <c r="B70" s="14" t="s">
        <v>1818</v>
      </c>
      <c r="C70" s="14" t="s">
        <v>1060</v>
      </c>
      <c r="D70" s="14" t="s">
        <v>1207</v>
      </c>
      <c r="E70" s="14" t="s">
        <v>750</v>
      </c>
      <c r="F70" s="14" t="s">
        <v>659</v>
      </c>
      <c r="G70" s="14" t="s">
        <v>82</v>
      </c>
      <c r="H70" s="14" t="s">
        <v>1551</v>
      </c>
      <c r="I70" s="14" t="n">
        <v>14</v>
      </c>
      <c r="J70" s="14" t="s">
        <v>1765</v>
      </c>
      <c r="K70" s="14" t="s">
        <v>1760</v>
      </c>
      <c r="L70" s="14" t="s">
        <v>1819</v>
      </c>
      <c r="M70" s="14"/>
      <c r="N70" s="14"/>
      <c r="O70" s="14" t="s">
        <v>659</v>
      </c>
      <c r="P70" s="14" t="s">
        <v>659</v>
      </c>
      <c r="Q70" s="14" t="s">
        <v>659</v>
      </c>
      <c r="R70" s="14" t="s">
        <v>659</v>
      </c>
      <c r="S70" s="14" t="s">
        <v>659</v>
      </c>
      <c r="T70" s="14" t="s">
        <v>659</v>
      </c>
      <c r="U70" s="14" t="s">
        <v>659</v>
      </c>
      <c r="V70" s="14" t="s">
        <v>659</v>
      </c>
      <c r="W70" s="14" t="s">
        <v>659</v>
      </c>
      <c r="X70" s="14" t="s">
        <v>659</v>
      </c>
      <c r="Y70" s="14" t="s">
        <v>659</v>
      </c>
      <c r="Z70" s="14" t="s">
        <v>659</v>
      </c>
      <c r="AA70" s="16"/>
      <c r="AB70" s="14"/>
      <c r="AC70" s="16"/>
      <c r="AD70" s="14" t="s">
        <v>685</v>
      </c>
      <c r="AE70" s="14" t="s">
        <v>687</v>
      </c>
      <c r="AF70" s="14" t="s">
        <v>691</v>
      </c>
      <c r="AG70" s="14" t="s">
        <v>693</v>
      </c>
      <c r="AH70" s="14" t="s">
        <v>776</v>
      </c>
      <c r="AI70" s="14"/>
      <c r="AJ70" s="14"/>
      <c r="AK70" s="14"/>
      <c r="AL70" s="14"/>
      <c r="AM70" s="16"/>
      <c r="AN70" s="14"/>
      <c r="AO70" s="16"/>
      <c r="AP70" s="14" t="s">
        <v>1820</v>
      </c>
    </row>
    <row r="71" customFormat="false" ht="15" hidden="false" customHeight="false" outlineLevel="0" collapsed="false">
      <c r="A71" s="14" t="s">
        <v>1821</v>
      </c>
      <c r="B71" s="14" t="s">
        <v>1822</v>
      </c>
      <c r="C71" s="14" t="s">
        <v>1060</v>
      </c>
      <c r="D71" s="14" t="s">
        <v>1207</v>
      </c>
      <c r="E71" s="14" t="s">
        <v>750</v>
      </c>
      <c r="F71" s="14" t="s">
        <v>659</v>
      </c>
      <c r="G71" s="14" t="s">
        <v>82</v>
      </c>
      <c r="H71" s="14" t="s">
        <v>1551</v>
      </c>
      <c r="I71" s="14" t="n">
        <v>14</v>
      </c>
      <c r="J71" s="14" t="s">
        <v>1823</v>
      </c>
      <c r="K71" s="14" t="s">
        <v>1760</v>
      </c>
      <c r="L71" s="14" t="s">
        <v>1824</v>
      </c>
      <c r="M71" s="14"/>
      <c r="N71" s="14"/>
      <c r="O71" s="14" t="s">
        <v>658</v>
      </c>
      <c r="P71" s="14" t="s">
        <v>659</v>
      </c>
      <c r="Q71" s="14" t="s">
        <v>659</v>
      </c>
      <c r="R71" s="14" t="s">
        <v>659</v>
      </c>
      <c r="S71" s="14" t="s">
        <v>659</v>
      </c>
      <c r="T71" s="14" t="s">
        <v>659</v>
      </c>
      <c r="U71" s="14" t="s">
        <v>659</v>
      </c>
      <c r="V71" s="14" t="s">
        <v>659</v>
      </c>
      <c r="W71" s="14" t="s">
        <v>659</v>
      </c>
      <c r="X71" s="14" t="s">
        <v>659</v>
      </c>
      <c r="Y71" s="14" t="s">
        <v>659</v>
      </c>
      <c r="Z71" s="14" t="s">
        <v>659</v>
      </c>
      <c r="AA71" s="16" t="n">
        <v>4.5</v>
      </c>
      <c r="AB71" s="14"/>
      <c r="AC71" s="16"/>
      <c r="AD71" s="14" t="s">
        <v>686</v>
      </c>
      <c r="AE71" s="14" t="s">
        <v>687</v>
      </c>
      <c r="AF71" s="14" t="s">
        <v>691</v>
      </c>
      <c r="AG71" s="14" t="s">
        <v>693</v>
      </c>
      <c r="AH71" s="14" t="s">
        <v>776</v>
      </c>
      <c r="AI71" s="14"/>
      <c r="AJ71" s="14"/>
      <c r="AK71" s="14"/>
      <c r="AL71" s="14"/>
      <c r="AM71" s="16"/>
      <c r="AN71" s="14"/>
      <c r="AO71" s="16"/>
      <c r="AP71" s="14"/>
    </row>
    <row r="72" customFormat="false" ht="15" hidden="false" customHeight="false" outlineLevel="0" collapsed="false">
      <c r="A72" s="14" t="s">
        <v>1825</v>
      </c>
      <c r="B72" s="14" t="s">
        <v>1826</v>
      </c>
      <c r="C72" s="14" t="s">
        <v>1060</v>
      </c>
      <c r="D72" s="14" t="s">
        <v>1207</v>
      </c>
      <c r="E72" s="14" t="s">
        <v>750</v>
      </c>
      <c r="F72" s="14" t="s">
        <v>659</v>
      </c>
      <c r="G72" s="14" t="s">
        <v>82</v>
      </c>
      <c r="H72" s="14" t="s">
        <v>1551</v>
      </c>
      <c r="I72" s="14" t="n">
        <v>14</v>
      </c>
      <c r="J72" s="14" t="s">
        <v>1765</v>
      </c>
      <c r="K72" s="14" t="s">
        <v>1760</v>
      </c>
      <c r="L72" s="14" t="s">
        <v>1819</v>
      </c>
      <c r="M72" s="14"/>
      <c r="N72" s="14"/>
      <c r="O72" s="14" t="s">
        <v>658</v>
      </c>
      <c r="P72" s="14" t="s">
        <v>658</v>
      </c>
      <c r="Q72" s="14" t="s">
        <v>659</v>
      </c>
      <c r="R72" s="14" t="s">
        <v>659</v>
      </c>
      <c r="S72" s="14" t="s">
        <v>659</v>
      </c>
      <c r="T72" s="14" t="s">
        <v>659</v>
      </c>
      <c r="U72" s="14" t="s">
        <v>659</v>
      </c>
      <c r="V72" s="14" t="s">
        <v>659</v>
      </c>
      <c r="W72" s="14" t="s">
        <v>659</v>
      </c>
      <c r="X72" s="14" t="s">
        <v>659</v>
      </c>
      <c r="Y72" s="14" t="s">
        <v>658</v>
      </c>
      <c r="Z72" s="14" t="s">
        <v>659</v>
      </c>
      <c r="AA72" s="16" t="n">
        <v>5</v>
      </c>
      <c r="AB72" s="14"/>
      <c r="AC72" s="16"/>
      <c r="AD72" s="14" t="s">
        <v>685</v>
      </c>
      <c r="AE72" s="14" t="s">
        <v>687</v>
      </c>
      <c r="AF72" s="14"/>
      <c r="AG72" s="14"/>
      <c r="AH72" s="14" t="s">
        <v>776</v>
      </c>
      <c r="AI72" s="14"/>
      <c r="AJ72" s="14"/>
      <c r="AK72" s="14"/>
      <c r="AL72" s="14"/>
      <c r="AM72" s="16"/>
      <c r="AN72" s="14"/>
      <c r="AO72" s="16"/>
      <c r="AP72" s="14"/>
    </row>
    <row r="73" customFormat="false" ht="15" hidden="false" customHeight="false" outlineLevel="0" collapsed="false">
      <c r="A73" s="14" t="s">
        <v>1827</v>
      </c>
      <c r="B73" s="14" t="s">
        <v>1828</v>
      </c>
      <c r="C73" s="14" t="s">
        <v>1060</v>
      </c>
      <c r="D73" s="14" t="s">
        <v>1207</v>
      </c>
      <c r="E73" s="14" t="s">
        <v>750</v>
      </c>
      <c r="F73" s="14" t="s">
        <v>659</v>
      </c>
      <c r="G73" s="14" t="s">
        <v>82</v>
      </c>
      <c r="H73" s="14" t="s">
        <v>1551</v>
      </c>
      <c r="I73" s="14" t="n">
        <v>14</v>
      </c>
      <c r="J73" s="14" t="s">
        <v>1829</v>
      </c>
      <c r="K73" s="14" t="s">
        <v>1760</v>
      </c>
      <c r="L73" s="14" t="s">
        <v>1830</v>
      </c>
      <c r="M73" s="14"/>
      <c r="N73" s="14"/>
      <c r="O73" s="14" t="s">
        <v>658</v>
      </c>
      <c r="P73" s="14" t="s">
        <v>658</v>
      </c>
      <c r="Q73" s="14" t="s">
        <v>658</v>
      </c>
      <c r="R73" s="14" t="s">
        <v>659</v>
      </c>
      <c r="S73" s="14" t="s">
        <v>659</v>
      </c>
      <c r="T73" s="14" t="s">
        <v>659</v>
      </c>
      <c r="U73" s="14" t="s">
        <v>659</v>
      </c>
      <c r="V73" s="14" t="s">
        <v>659</v>
      </c>
      <c r="W73" s="14" t="s">
        <v>659</v>
      </c>
      <c r="X73" s="14" t="s">
        <v>659</v>
      </c>
      <c r="Y73" s="14" t="s">
        <v>658</v>
      </c>
      <c r="Z73" s="14" t="s">
        <v>659</v>
      </c>
      <c r="AA73" s="16" t="n">
        <v>5</v>
      </c>
      <c r="AB73" s="14"/>
      <c r="AC73" s="16"/>
      <c r="AD73" s="14" t="s">
        <v>685</v>
      </c>
      <c r="AE73" s="14" t="s">
        <v>687</v>
      </c>
      <c r="AF73" s="14"/>
      <c r="AG73" s="14"/>
      <c r="AH73" s="14"/>
      <c r="AI73" s="14"/>
      <c r="AJ73" s="14"/>
      <c r="AK73" s="14"/>
      <c r="AL73" s="14"/>
      <c r="AM73" s="16"/>
      <c r="AN73" s="14"/>
      <c r="AO73" s="16"/>
      <c r="AP73" s="14" t="s">
        <v>1831</v>
      </c>
    </row>
    <row r="74" customFormat="false" ht="46.25" hidden="false" customHeight="false" outlineLevel="0" collapsed="false">
      <c r="A74" s="14" t="s">
        <v>1832</v>
      </c>
      <c r="B74" s="14" t="s">
        <v>1833</v>
      </c>
      <c r="C74" s="14" t="s">
        <v>1060</v>
      </c>
      <c r="D74" s="14" t="s">
        <v>1207</v>
      </c>
      <c r="E74" s="14" t="s">
        <v>750</v>
      </c>
      <c r="F74" s="14" t="s">
        <v>659</v>
      </c>
      <c r="G74" s="14" t="s">
        <v>82</v>
      </c>
      <c r="H74" s="14" t="s">
        <v>1551</v>
      </c>
      <c r="I74" s="14" t="n">
        <v>14</v>
      </c>
      <c r="J74" s="14" t="s">
        <v>1834</v>
      </c>
      <c r="K74" s="14" t="s">
        <v>1760</v>
      </c>
      <c r="L74" s="14" t="s">
        <v>1835</v>
      </c>
      <c r="M74" s="14"/>
      <c r="N74" s="14"/>
      <c r="O74" s="14" t="s">
        <v>658</v>
      </c>
      <c r="P74" s="14" t="s">
        <v>658</v>
      </c>
      <c r="Q74" s="14" t="s">
        <v>659</v>
      </c>
      <c r="R74" s="14" t="s">
        <v>659</v>
      </c>
      <c r="S74" s="14" t="s">
        <v>659</v>
      </c>
      <c r="T74" s="14" t="s">
        <v>659</v>
      </c>
      <c r="U74" s="14" t="s">
        <v>659</v>
      </c>
      <c r="V74" s="14" t="s">
        <v>659</v>
      </c>
      <c r="W74" s="14" t="s">
        <v>659</v>
      </c>
      <c r="X74" s="14" t="s">
        <v>659</v>
      </c>
      <c r="Y74" s="14" t="s">
        <v>658</v>
      </c>
      <c r="Z74" s="14" t="s">
        <v>659</v>
      </c>
      <c r="AA74" s="16" t="n">
        <v>5</v>
      </c>
      <c r="AB74" s="14"/>
      <c r="AC74" s="16"/>
      <c r="AD74" s="14" t="s">
        <v>685</v>
      </c>
      <c r="AE74" s="14" t="s">
        <v>687</v>
      </c>
      <c r="AF74" s="14"/>
      <c r="AG74" s="14"/>
      <c r="AH74" s="14" t="s">
        <v>776</v>
      </c>
      <c r="AI74" s="14"/>
      <c r="AJ74" s="14"/>
      <c r="AK74" s="14"/>
      <c r="AL74" s="14"/>
      <c r="AM74" s="16"/>
      <c r="AN74" s="14"/>
      <c r="AO74" s="16"/>
      <c r="AP74" s="5" t="s">
        <v>1836</v>
      </c>
    </row>
    <row r="75" customFormat="false" ht="35.05" hidden="false" customHeight="false" outlineLevel="0" collapsed="false">
      <c r="A75" s="14" t="s">
        <v>1837</v>
      </c>
      <c r="B75" s="14" t="s">
        <v>1838</v>
      </c>
      <c r="C75" s="14" t="s">
        <v>1060</v>
      </c>
      <c r="D75" s="14" t="s">
        <v>1207</v>
      </c>
      <c r="E75" s="14" t="s">
        <v>750</v>
      </c>
      <c r="F75" s="14" t="s">
        <v>659</v>
      </c>
      <c r="G75" s="14" t="s">
        <v>82</v>
      </c>
      <c r="H75" s="14" t="s">
        <v>1551</v>
      </c>
      <c r="I75" s="14" t="n">
        <v>14</v>
      </c>
      <c r="J75" s="14" t="s">
        <v>1839</v>
      </c>
      <c r="K75" s="14" t="s">
        <v>1760</v>
      </c>
      <c r="L75" s="14" t="s">
        <v>1775</v>
      </c>
      <c r="M75" s="14"/>
      <c r="N75" s="14"/>
      <c r="O75" s="14" t="s">
        <v>659</v>
      </c>
      <c r="P75" s="14" t="s">
        <v>659</v>
      </c>
      <c r="Q75" s="14" t="s">
        <v>659</v>
      </c>
      <c r="R75" s="14" t="s">
        <v>659</v>
      </c>
      <c r="S75" s="14" t="s">
        <v>658</v>
      </c>
      <c r="T75" s="14" t="s">
        <v>659</v>
      </c>
      <c r="U75" s="14" t="s">
        <v>659</v>
      </c>
      <c r="V75" s="14" t="s">
        <v>659</v>
      </c>
      <c r="W75" s="14" t="s">
        <v>659</v>
      </c>
      <c r="X75" s="14" t="s">
        <v>659</v>
      </c>
      <c r="Y75" s="14" t="s">
        <v>659</v>
      </c>
      <c r="Z75" s="14" t="s">
        <v>659</v>
      </c>
      <c r="AA75" s="16"/>
      <c r="AB75" s="14" t="s">
        <v>671</v>
      </c>
      <c r="AC75" s="16"/>
      <c r="AD75" s="14" t="s">
        <v>685</v>
      </c>
      <c r="AE75" s="14" t="s">
        <v>687</v>
      </c>
      <c r="AF75" s="14"/>
      <c r="AG75" s="14"/>
      <c r="AH75" s="14"/>
      <c r="AI75" s="14"/>
      <c r="AJ75" s="14"/>
      <c r="AK75" s="14"/>
      <c r="AL75" s="14"/>
      <c r="AM75" s="16"/>
      <c r="AN75" s="14"/>
      <c r="AO75" s="16"/>
      <c r="AP75" s="5" t="s">
        <v>1840</v>
      </c>
    </row>
    <row r="76" customFormat="false" ht="15" hidden="false" customHeight="false" outlineLevel="0" collapsed="false">
      <c r="A76" s="14" t="s">
        <v>1841</v>
      </c>
      <c r="B76" s="14" t="s">
        <v>1842</v>
      </c>
      <c r="C76" s="14" t="s">
        <v>1060</v>
      </c>
      <c r="D76" s="14" t="s">
        <v>1206</v>
      </c>
      <c r="E76" s="14" t="s">
        <v>750</v>
      </c>
      <c r="F76" s="14" t="s">
        <v>659</v>
      </c>
      <c r="G76" s="14" t="s">
        <v>82</v>
      </c>
      <c r="H76" s="14" t="s">
        <v>1551</v>
      </c>
      <c r="I76" s="14" t="n">
        <v>14</v>
      </c>
      <c r="J76" s="14" t="s">
        <v>1843</v>
      </c>
      <c r="K76" s="14" t="s">
        <v>1572</v>
      </c>
      <c r="L76" s="14"/>
      <c r="M76" s="14"/>
      <c r="N76" s="14"/>
      <c r="O76" s="14" t="s">
        <v>659</v>
      </c>
      <c r="P76" s="14" t="s">
        <v>659</v>
      </c>
      <c r="Q76" s="14" t="s">
        <v>659</v>
      </c>
      <c r="R76" s="14" t="s">
        <v>658</v>
      </c>
      <c r="S76" s="14" t="s">
        <v>659</v>
      </c>
      <c r="T76" s="14" t="s">
        <v>659</v>
      </c>
      <c r="U76" s="14" t="s">
        <v>658</v>
      </c>
      <c r="V76" s="14" t="s">
        <v>658</v>
      </c>
      <c r="W76" s="14" t="s">
        <v>658</v>
      </c>
      <c r="X76" s="14" t="s">
        <v>658</v>
      </c>
      <c r="Y76" s="14" t="s">
        <v>658</v>
      </c>
      <c r="Z76" s="14" t="s">
        <v>658</v>
      </c>
      <c r="AA76" s="16" t="n">
        <v>4.5</v>
      </c>
      <c r="AB76" s="14" t="s">
        <v>1844</v>
      </c>
      <c r="AC76" s="16" t="n">
        <v>4.5</v>
      </c>
      <c r="AD76" s="14" t="s">
        <v>685</v>
      </c>
      <c r="AE76" s="14" t="s">
        <v>687</v>
      </c>
      <c r="AF76" s="14"/>
      <c r="AG76" s="14"/>
      <c r="AH76" s="14" t="s">
        <v>776</v>
      </c>
      <c r="AI76" s="14"/>
      <c r="AJ76" s="14"/>
      <c r="AK76" s="14"/>
      <c r="AL76" s="14"/>
      <c r="AM76" s="16"/>
      <c r="AN76" s="14"/>
      <c r="AO76" s="16"/>
      <c r="AP76" s="5" t="s">
        <v>1845</v>
      </c>
    </row>
    <row r="77" customFormat="false" ht="15" hidden="false" customHeight="false" outlineLevel="0" collapsed="false">
      <c r="A77" s="14" t="s">
        <v>1846</v>
      </c>
      <c r="B77" s="14" t="s">
        <v>1847</v>
      </c>
      <c r="C77" s="14" t="s">
        <v>1060</v>
      </c>
      <c r="D77" s="14" t="s">
        <v>1206</v>
      </c>
      <c r="E77" s="14" t="s">
        <v>750</v>
      </c>
      <c r="F77" s="14" t="s">
        <v>659</v>
      </c>
      <c r="G77" s="14" t="s">
        <v>82</v>
      </c>
      <c r="H77" s="14" t="s">
        <v>1551</v>
      </c>
      <c r="I77" s="14" t="n">
        <v>14</v>
      </c>
      <c r="J77" s="14" t="s">
        <v>1848</v>
      </c>
      <c r="K77" s="14" t="s">
        <v>1572</v>
      </c>
      <c r="L77" s="14"/>
      <c r="M77" s="14"/>
      <c r="N77" s="14"/>
      <c r="O77" s="14" t="s">
        <v>659</v>
      </c>
      <c r="P77" s="14" t="s">
        <v>659</v>
      </c>
      <c r="Q77" s="14" t="s">
        <v>659</v>
      </c>
      <c r="R77" s="14" t="s">
        <v>658</v>
      </c>
      <c r="S77" s="14" t="s">
        <v>659</v>
      </c>
      <c r="T77" s="14" t="s">
        <v>659</v>
      </c>
      <c r="U77" s="14" t="s">
        <v>659</v>
      </c>
      <c r="V77" s="14" t="s">
        <v>659</v>
      </c>
      <c r="W77" s="14" t="s">
        <v>659</v>
      </c>
      <c r="X77" s="14" t="s">
        <v>659</v>
      </c>
      <c r="Y77" s="14" t="s">
        <v>658</v>
      </c>
      <c r="Z77" s="14" t="s">
        <v>658</v>
      </c>
      <c r="AA77" s="16" t="n">
        <v>4.5</v>
      </c>
      <c r="AB77" s="14" t="s">
        <v>672</v>
      </c>
      <c r="AC77" s="16" t="n">
        <v>4.5</v>
      </c>
      <c r="AD77" s="14" t="s">
        <v>685</v>
      </c>
      <c r="AE77" s="14" t="s">
        <v>687</v>
      </c>
      <c r="AF77" s="14"/>
      <c r="AG77" s="14"/>
      <c r="AH77" s="14"/>
      <c r="AI77" s="14"/>
      <c r="AJ77" s="14"/>
      <c r="AK77" s="14"/>
      <c r="AL77" s="14"/>
      <c r="AM77" s="16"/>
      <c r="AN77" s="14"/>
      <c r="AO77" s="16"/>
      <c r="AP77" s="5" t="s">
        <v>1849</v>
      </c>
    </row>
    <row r="78" customFormat="false" ht="23.85" hidden="false" customHeight="false" outlineLevel="0" collapsed="false">
      <c r="A78" s="14" t="s">
        <v>1850</v>
      </c>
      <c r="B78" s="14" t="s">
        <v>1851</v>
      </c>
      <c r="C78" s="14" t="s">
        <v>1060</v>
      </c>
      <c r="D78" s="14" t="s">
        <v>1204</v>
      </c>
      <c r="E78" s="14" t="s">
        <v>750</v>
      </c>
      <c r="F78" s="14" t="s">
        <v>659</v>
      </c>
      <c r="G78" s="14" t="s">
        <v>82</v>
      </c>
      <c r="H78" s="14" t="s">
        <v>1551</v>
      </c>
      <c r="I78" s="14" t="n">
        <v>14</v>
      </c>
      <c r="J78" s="14" t="s">
        <v>1852</v>
      </c>
      <c r="K78" s="14" t="s">
        <v>1853</v>
      </c>
      <c r="L78" s="14"/>
      <c r="M78" s="14"/>
      <c r="N78" s="14"/>
      <c r="O78" s="14" t="s">
        <v>658</v>
      </c>
      <c r="P78" s="14" t="s">
        <v>658</v>
      </c>
      <c r="Q78" s="14" t="s">
        <v>659</v>
      </c>
      <c r="R78" s="14" t="s">
        <v>659</v>
      </c>
      <c r="S78" s="14" t="s">
        <v>659</v>
      </c>
      <c r="T78" s="14" t="s">
        <v>659</v>
      </c>
      <c r="U78" s="14" t="s">
        <v>659</v>
      </c>
      <c r="V78" s="14" t="s">
        <v>659</v>
      </c>
      <c r="W78" s="14" t="s">
        <v>659</v>
      </c>
      <c r="X78" s="14" t="s">
        <v>659</v>
      </c>
      <c r="Y78" s="14" t="s">
        <v>658</v>
      </c>
      <c r="Z78" s="14" t="s">
        <v>659</v>
      </c>
      <c r="AA78" s="16" t="n">
        <v>4.2</v>
      </c>
      <c r="AB78" s="14"/>
      <c r="AC78" s="16"/>
      <c r="AD78" s="14" t="s">
        <v>685</v>
      </c>
      <c r="AE78" s="14" t="s">
        <v>687</v>
      </c>
      <c r="AF78" s="14"/>
      <c r="AG78" s="14"/>
      <c r="AH78" s="14"/>
      <c r="AI78" s="14"/>
      <c r="AJ78" s="14"/>
      <c r="AK78" s="14"/>
      <c r="AL78" s="14"/>
      <c r="AM78" s="16"/>
      <c r="AN78" s="14"/>
      <c r="AO78" s="16"/>
      <c r="AP78" s="5" t="s">
        <v>1854</v>
      </c>
    </row>
    <row r="79" customFormat="false" ht="15" hidden="false" customHeight="false" outlineLevel="0" collapsed="false">
      <c r="A79" s="14" t="s">
        <v>1855</v>
      </c>
      <c r="B79" s="14" t="s">
        <v>1856</v>
      </c>
      <c r="C79" s="14" t="s">
        <v>1060</v>
      </c>
      <c r="D79" s="14" t="s">
        <v>1207</v>
      </c>
      <c r="E79" s="14" t="s">
        <v>750</v>
      </c>
      <c r="F79" s="14" t="s">
        <v>659</v>
      </c>
      <c r="G79" s="14" t="s">
        <v>82</v>
      </c>
      <c r="H79" s="14" t="s">
        <v>1551</v>
      </c>
      <c r="I79" s="14" t="n">
        <v>14</v>
      </c>
      <c r="J79" s="14" t="s">
        <v>1783</v>
      </c>
      <c r="K79" s="14" t="s">
        <v>1760</v>
      </c>
      <c r="L79" s="14" t="s">
        <v>1857</v>
      </c>
      <c r="M79" s="14"/>
      <c r="N79" s="14"/>
      <c r="O79" s="14" t="s">
        <v>658</v>
      </c>
      <c r="P79" s="14" t="s">
        <v>658</v>
      </c>
      <c r="Q79" s="14" t="s">
        <v>659</v>
      </c>
      <c r="R79" s="14" t="s">
        <v>658</v>
      </c>
      <c r="S79" s="14" t="s">
        <v>658</v>
      </c>
      <c r="T79" s="14" t="s">
        <v>658</v>
      </c>
      <c r="U79" s="14" t="s">
        <v>659</v>
      </c>
      <c r="V79" s="14" t="s">
        <v>659</v>
      </c>
      <c r="W79" s="14" t="s">
        <v>659</v>
      </c>
      <c r="X79" s="14" t="s">
        <v>659</v>
      </c>
      <c r="Y79" s="14" t="s">
        <v>658</v>
      </c>
      <c r="Z79" s="14" t="s">
        <v>658</v>
      </c>
      <c r="AA79" s="16" t="n">
        <v>4.5</v>
      </c>
      <c r="AB79" s="14" t="s">
        <v>671</v>
      </c>
      <c r="AC79" s="16"/>
      <c r="AD79" s="14" t="s">
        <v>685</v>
      </c>
      <c r="AE79" s="14" t="s">
        <v>687</v>
      </c>
      <c r="AF79" s="14"/>
      <c r="AG79" s="14"/>
      <c r="AH79" s="14"/>
      <c r="AI79" s="14"/>
      <c r="AJ79" s="14"/>
      <c r="AK79" s="14"/>
      <c r="AL79" s="14"/>
      <c r="AM79" s="16"/>
      <c r="AN79" s="14"/>
      <c r="AO79" s="16"/>
      <c r="AP79" s="14" t="s">
        <v>1858</v>
      </c>
    </row>
    <row r="80" customFormat="false" ht="23.85" hidden="false" customHeight="false" outlineLevel="0" collapsed="false">
      <c r="A80" s="14" t="s">
        <v>1859</v>
      </c>
      <c r="B80" s="5" t="s">
        <v>1860</v>
      </c>
      <c r="C80" s="14" t="s">
        <v>1060</v>
      </c>
      <c r="D80" s="14" t="s">
        <v>1207</v>
      </c>
      <c r="E80" s="14" t="s">
        <v>751</v>
      </c>
      <c r="F80" s="14" t="s">
        <v>659</v>
      </c>
      <c r="G80" s="14" t="s">
        <v>82</v>
      </c>
      <c r="H80" s="14" t="s">
        <v>1551</v>
      </c>
      <c r="I80" s="14" t="n">
        <v>14</v>
      </c>
      <c r="J80" s="14"/>
      <c r="K80" s="14"/>
      <c r="L80" s="14" t="s">
        <v>1861</v>
      </c>
      <c r="M80" s="14" t="s">
        <v>1862</v>
      </c>
      <c r="N80" s="14" t="s">
        <v>1863</v>
      </c>
      <c r="O80" s="14" t="s">
        <v>659</v>
      </c>
      <c r="P80" s="14" t="s">
        <v>659</v>
      </c>
      <c r="Q80" s="14"/>
      <c r="R80" s="14" t="s">
        <v>659</v>
      </c>
      <c r="S80" s="14" t="s">
        <v>658</v>
      </c>
      <c r="T80" s="14"/>
      <c r="U80" s="14"/>
      <c r="V80" s="14"/>
      <c r="W80" s="14"/>
      <c r="X80" s="14"/>
      <c r="Y80" s="14"/>
      <c r="Z80" s="14"/>
      <c r="AA80" s="16"/>
      <c r="AB80" s="14"/>
      <c r="AC80" s="16"/>
      <c r="AD80" s="14"/>
      <c r="AE80" s="14"/>
      <c r="AF80" s="14"/>
      <c r="AG80" s="14"/>
      <c r="AH80" s="14"/>
      <c r="AI80" s="14"/>
      <c r="AJ80" s="14" t="s">
        <v>696</v>
      </c>
      <c r="AK80" s="14" t="s">
        <v>1864</v>
      </c>
      <c r="AL80" s="14"/>
      <c r="AM80" s="16"/>
      <c r="AN80" s="14" t="n">
        <v>10</v>
      </c>
      <c r="AO80" s="16" t="n">
        <v>4.8</v>
      </c>
      <c r="AP80" s="14"/>
    </row>
    <row r="81" customFormat="false" ht="23.85" hidden="false" customHeight="false" outlineLevel="0" collapsed="false">
      <c r="A81" s="14" t="s">
        <v>1865</v>
      </c>
      <c r="B81" s="5" t="s">
        <v>1866</v>
      </c>
      <c r="C81" s="14" t="s">
        <v>1060</v>
      </c>
      <c r="D81" s="14" t="s">
        <v>1207</v>
      </c>
      <c r="E81" s="14" t="s">
        <v>751</v>
      </c>
      <c r="F81" s="14" t="s">
        <v>659</v>
      </c>
      <c r="G81" s="14" t="s">
        <v>82</v>
      </c>
      <c r="H81" s="14" t="s">
        <v>1551</v>
      </c>
      <c r="I81" s="14" t="n">
        <v>14</v>
      </c>
      <c r="J81" s="14"/>
      <c r="K81" s="14"/>
      <c r="L81" s="14" t="s">
        <v>1867</v>
      </c>
      <c r="M81" s="14" t="s">
        <v>1862</v>
      </c>
      <c r="N81" s="14" t="s">
        <v>1863</v>
      </c>
      <c r="O81" s="14" t="s">
        <v>659</v>
      </c>
      <c r="P81" s="14" t="s">
        <v>659</v>
      </c>
      <c r="Q81" s="14"/>
      <c r="R81" s="14" t="s">
        <v>659</v>
      </c>
      <c r="S81" s="14" t="s">
        <v>658</v>
      </c>
      <c r="T81" s="14"/>
      <c r="U81" s="14"/>
      <c r="V81" s="14"/>
      <c r="W81" s="14"/>
      <c r="X81" s="14"/>
      <c r="Y81" s="14"/>
      <c r="Z81" s="14"/>
      <c r="AA81" s="16"/>
      <c r="AB81" s="14"/>
      <c r="AC81" s="16"/>
      <c r="AD81" s="14"/>
      <c r="AE81" s="14"/>
      <c r="AF81" s="14"/>
      <c r="AG81" s="14"/>
      <c r="AH81" s="14"/>
      <c r="AI81" s="14"/>
      <c r="AJ81" s="14" t="s">
        <v>696</v>
      </c>
      <c r="AK81" s="14" t="s">
        <v>1868</v>
      </c>
      <c r="AL81" s="14"/>
      <c r="AM81" s="16"/>
      <c r="AN81" s="14" t="n">
        <v>2</v>
      </c>
      <c r="AO81" s="16" t="n">
        <v>4.7</v>
      </c>
      <c r="AP81" s="14"/>
    </row>
    <row r="82" customFormat="false" ht="23.85" hidden="false" customHeight="false" outlineLevel="0" collapsed="false">
      <c r="A82" s="14" t="s">
        <v>1869</v>
      </c>
      <c r="B82" s="5" t="s">
        <v>1870</v>
      </c>
      <c r="C82" s="14" t="s">
        <v>1060</v>
      </c>
      <c r="D82" s="14" t="s">
        <v>1207</v>
      </c>
      <c r="E82" s="14" t="s">
        <v>751</v>
      </c>
      <c r="F82" s="14" t="s">
        <v>659</v>
      </c>
      <c r="G82" s="14" t="s">
        <v>82</v>
      </c>
      <c r="H82" s="14" t="s">
        <v>1551</v>
      </c>
      <c r="I82" s="14" t="n">
        <v>14</v>
      </c>
      <c r="J82" s="14"/>
      <c r="K82" s="14"/>
      <c r="L82" s="14" t="s">
        <v>1871</v>
      </c>
      <c r="M82" s="14" t="s">
        <v>1862</v>
      </c>
      <c r="N82" s="14" t="s">
        <v>1872</v>
      </c>
      <c r="O82" s="14" t="s">
        <v>659</v>
      </c>
      <c r="P82" s="14" t="s">
        <v>659</v>
      </c>
      <c r="Q82" s="14"/>
      <c r="R82" s="14" t="s">
        <v>659</v>
      </c>
      <c r="S82" s="14" t="s">
        <v>658</v>
      </c>
      <c r="T82" s="14"/>
      <c r="U82" s="14"/>
      <c r="V82" s="14"/>
      <c r="W82" s="14"/>
      <c r="X82" s="14"/>
      <c r="Y82" s="14"/>
      <c r="Z82" s="14"/>
      <c r="AA82" s="16"/>
      <c r="AB82" s="14"/>
      <c r="AC82" s="16"/>
      <c r="AD82" s="14"/>
      <c r="AE82" s="14"/>
      <c r="AF82" s="14"/>
      <c r="AG82" s="14"/>
      <c r="AH82" s="14"/>
      <c r="AI82" s="14"/>
      <c r="AJ82" s="14" t="s">
        <v>696</v>
      </c>
      <c r="AK82" s="14" t="s">
        <v>1873</v>
      </c>
      <c r="AL82" s="14"/>
      <c r="AM82" s="16"/>
      <c r="AN82" s="14" t="n">
        <v>10</v>
      </c>
      <c r="AO82" s="16" t="n">
        <v>4.8</v>
      </c>
      <c r="AP82" s="14"/>
    </row>
    <row r="83" customFormat="false" ht="23.85" hidden="false" customHeight="false" outlineLevel="0" collapsed="false">
      <c r="A83" s="14" t="s">
        <v>1874</v>
      </c>
      <c r="B83" s="5" t="s">
        <v>1875</v>
      </c>
      <c r="C83" s="14" t="s">
        <v>1060</v>
      </c>
      <c r="D83" s="14" t="s">
        <v>1207</v>
      </c>
      <c r="E83" s="14" t="s">
        <v>751</v>
      </c>
      <c r="F83" s="14" t="s">
        <v>659</v>
      </c>
      <c r="G83" s="14" t="s">
        <v>82</v>
      </c>
      <c r="H83" s="14" t="s">
        <v>1551</v>
      </c>
      <c r="I83" s="14" t="n">
        <v>14</v>
      </c>
      <c r="J83" s="14"/>
      <c r="K83" s="14"/>
      <c r="L83" s="14" t="s">
        <v>1871</v>
      </c>
      <c r="M83" s="14" t="s">
        <v>1862</v>
      </c>
      <c r="N83" s="14" t="s">
        <v>1872</v>
      </c>
      <c r="O83" s="14" t="s">
        <v>658</v>
      </c>
      <c r="P83" s="14" t="s">
        <v>659</v>
      </c>
      <c r="Q83" s="14"/>
      <c r="R83" s="14" t="s">
        <v>659</v>
      </c>
      <c r="S83" s="14" t="s">
        <v>659</v>
      </c>
      <c r="T83" s="14"/>
      <c r="U83" s="14" t="s">
        <v>658</v>
      </c>
      <c r="V83" s="14"/>
      <c r="W83" s="14"/>
      <c r="X83" s="14"/>
      <c r="Y83" s="14"/>
      <c r="Z83" s="14"/>
      <c r="AA83" s="16" t="n">
        <v>4.2</v>
      </c>
      <c r="AB83" s="14"/>
      <c r="AC83" s="16"/>
      <c r="AD83" s="14"/>
      <c r="AE83" s="14"/>
      <c r="AF83" s="14"/>
      <c r="AG83" s="14"/>
      <c r="AH83" s="14"/>
      <c r="AI83" s="14"/>
      <c r="AJ83" s="14" t="s">
        <v>695</v>
      </c>
      <c r="AK83" s="14" t="s">
        <v>1876</v>
      </c>
      <c r="AL83" s="14" t="n">
        <v>2</v>
      </c>
      <c r="AM83" s="16" t="n">
        <v>4.2</v>
      </c>
      <c r="AN83" s="14"/>
      <c r="AO83" s="16"/>
      <c r="AP83" s="14"/>
    </row>
    <row r="84" customFormat="false" ht="23.85" hidden="false" customHeight="false" outlineLevel="0" collapsed="false">
      <c r="A84" s="14" t="s">
        <v>1877</v>
      </c>
      <c r="B84" s="5" t="s">
        <v>1878</v>
      </c>
      <c r="C84" s="14" t="s">
        <v>1060</v>
      </c>
      <c r="D84" s="14" t="s">
        <v>1207</v>
      </c>
      <c r="E84" s="14" t="s">
        <v>751</v>
      </c>
      <c r="F84" s="14" t="s">
        <v>659</v>
      </c>
      <c r="G84" s="14" t="s">
        <v>82</v>
      </c>
      <c r="H84" s="14" t="s">
        <v>1551</v>
      </c>
      <c r="I84" s="14" t="n">
        <v>14</v>
      </c>
      <c r="J84" s="14"/>
      <c r="K84" s="14"/>
      <c r="L84" s="14" t="s">
        <v>1879</v>
      </c>
      <c r="M84" s="14" t="s">
        <v>1862</v>
      </c>
      <c r="N84" s="14" t="s">
        <v>1872</v>
      </c>
      <c r="O84" s="14" t="s">
        <v>659</v>
      </c>
      <c r="P84" s="14" t="s">
        <v>659</v>
      </c>
      <c r="Q84" s="14"/>
      <c r="R84" s="14" t="s">
        <v>659</v>
      </c>
      <c r="S84" s="14" t="s">
        <v>658</v>
      </c>
      <c r="T84" s="14"/>
      <c r="U84" s="14"/>
      <c r="V84" s="14"/>
      <c r="W84" s="14"/>
      <c r="X84" s="14"/>
      <c r="Y84" s="14"/>
      <c r="Z84" s="14"/>
      <c r="AA84" s="16"/>
      <c r="AB84" s="14"/>
      <c r="AC84" s="16"/>
      <c r="AD84" s="14"/>
      <c r="AE84" s="14"/>
      <c r="AF84" s="14"/>
      <c r="AG84" s="14"/>
      <c r="AH84" s="14"/>
      <c r="AI84" s="14"/>
      <c r="AJ84" s="14" t="s">
        <v>696</v>
      </c>
      <c r="AK84" s="14" t="s">
        <v>1873</v>
      </c>
      <c r="AL84" s="14"/>
      <c r="AM84" s="16"/>
      <c r="AN84" s="14" t="n">
        <v>2</v>
      </c>
      <c r="AO84" s="16" t="n">
        <v>4.7</v>
      </c>
      <c r="AP84" s="14"/>
    </row>
    <row r="85" customFormat="false" ht="23.85" hidden="false" customHeight="false" outlineLevel="0" collapsed="false">
      <c r="A85" s="14" t="s">
        <v>1880</v>
      </c>
      <c r="B85" s="5" t="s">
        <v>1881</v>
      </c>
      <c r="C85" s="14" t="s">
        <v>1060</v>
      </c>
      <c r="D85" s="14" t="s">
        <v>1207</v>
      </c>
      <c r="E85" s="14" t="s">
        <v>751</v>
      </c>
      <c r="F85" s="14" t="s">
        <v>659</v>
      </c>
      <c r="G85" s="14" t="s">
        <v>82</v>
      </c>
      <c r="H85" s="14" t="s">
        <v>1551</v>
      </c>
      <c r="I85" s="14" t="n">
        <v>14</v>
      </c>
      <c r="J85" s="14"/>
      <c r="K85" s="14"/>
      <c r="L85" s="14" t="s">
        <v>1882</v>
      </c>
      <c r="M85" s="14" t="s">
        <v>1862</v>
      </c>
      <c r="N85" s="14" t="s">
        <v>1883</v>
      </c>
      <c r="O85" s="14" t="s">
        <v>659</v>
      </c>
      <c r="P85" s="14" t="s">
        <v>659</v>
      </c>
      <c r="Q85" s="14"/>
      <c r="R85" s="14" t="s">
        <v>659</v>
      </c>
      <c r="S85" s="14" t="s">
        <v>658</v>
      </c>
      <c r="T85" s="14"/>
      <c r="U85" s="14" t="s">
        <v>659</v>
      </c>
      <c r="V85" s="14"/>
      <c r="W85" s="14"/>
      <c r="X85" s="14"/>
      <c r="Y85" s="14"/>
      <c r="Z85" s="14"/>
      <c r="AA85" s="16"/>
      <c r="AB85" s="14"/>
      <c r="AC85" s="16"/>
      <c r="AD85" s="14"/>
      <c r="AE85" s="14"/>
      <c r="AF85" s="14"/>
      <c r="AG85" s="14"/>
      <c r="AH85" s="14"/>
      <c r="AI85" s="14"/>
      <c r="AJ85" s="14" t="s">
        <v>1884</v>
      </c>
      <c r="AK85" s="14" t="s">
        <v>1885</v>
      </c>
      <c r="AL85" s="14" t="n">
        <v>0</v>
      </c>
      <c r="AM85" s="16"/>
      <c r="AN85" s="14" t="n">
        <v>10</v>
      </c>
      <c r="AO85" s="16" t="n">
        <v>4.8</v>
      </c>
      <c r="AP85" s="14"/>
    </row>
    <row r="86" customFormat="false" ht="23.85" hidden="false" customHeight="false" outlineLevel="0" collapsed="false">
      <c r="A86" s="14" t="s">
        <v>1886</v>
      </c>
      <c r="B86" s="5" t="s">
        <v>1887</v>
      </c>
      <c r="C86" s="14" t="s">
        <v>1060</v>
      </c>
      <c r="D86" s="14" t="s">
        <v>1207</v>
      </c>
      <c r="E86" s="14" t="s">
        <v>751</v>
      </c>
      <c r="F86" s="14" t="s">
        <v>659</v>
      </c>
      <c r="G86" s="14" t="s">
        <v>82</v>
      </c>
      <c r="H86" s="14" t="s">
        <v>1551</v>
      </c>
      <c r="I86" s="14" t="n">
        <v>14</v>
      </c>
      <c r="J86" s="14"/>
      <c r="K86" s="14"/>
      <c r="L86" s="14" t="s">
        <v>1888</v>
      </c>
      <c r="M86" s="14" t="s">
        <v>1862</v>
      </c>
      <c r="N86" s="14" t="s">
        <v>1889</v>
      </c>
      <c r="O86" s="14" t="s">
        <v>658</v>
      </c>
      <c r="P86" s="14" t="s">
        <v>659</v>
      </c>
      <c r="Q86" s="14"/>
      <c r="R86" s="14" t="s">
        <v>659</v>
      </c>
      <c r="S86" s="14" t="s">
        <v>659</v>
      </c>
      <c r="T86" s="14"/>
      <c r="U86" s="14" t="s">
        <v>658</v>
      </c>
      <c r="V86" s="14"/>
      <c r="W86" s="14"/>
      <c r="X86" s="14"/>
      <c r="Y86" s="14"/>
      <c r="Z86" s="14"/>
      <c r="AA86" s="16" t="n">
        <v>4.2</v>
      </c>
      <c r="AB86" s="14"/>
      <c r="AC86" s="16"/>
      <c r="AD86" s="14"/>
      <c r="AE86" s="14"/>
      <c r="AF86" s="14"/>
      <c r="AG86" s="14"/>
      <c r="AH86" s="14"/>
      <c r="AI86" s="14"/>
      <c r="AJ86" s="14" t="s">
        <v>695</v>
      </c>
      <c r="AK86" s="14" t="s">
        <v>1890</v>
      </c>
      <c r="AL86" s="14" t="n">
        <v>3</v>
      </c>
      <c r="AM86" s="16" t="n">
        <v>4.2</v>
      </c>
      <c r="AN86" s="14"/>
      <c r="AO86" s="16"/>
      <c r="AP86" s="14"/>
    </row>
    <row r="87" customFormat="false" ht="23.85" hidden="false" customHeight="false" outlineLevel="0" collapsed="false">
      <c r="A87" s="14" t="s">
        <v>1891</v>
      </c>
      <c r="B87" s="5" t="s">
        <v>1892</v>
      </c>
      <c r="C87" s="14" t="s">
        <v>1060</v>
      </c>
      <c r="D87" s="14" t="s">
        <v>1207</v>
      </c>
      <c r="E87" s="14" t="s">
        <v>751</v>
      </c>
      <c r="F87" s="14" t="s">
        <v>659</v>
      </c>
      <c r="G87" s="14" t="s">
        <v>82</v>
      </c>
      <c r="H87" s="14" t="s">
        <v>1551</v>
      </c>
      <c r="I87" s="14" t="n">
        <v>14</v>
      </c>
      <c r="J87" s="14"/>
      <c r="K87" s="14"/>
      <c r="L87" s="14" t="s">
        <v>1879</v>
      </c>
      <c r="M87" s="14" t="s">
        <v>1862</v>
      </c>
      <c r="N87" s="14" t="s">
        <v>1889</v>
      </c>
      <c r="O87" s="14" t="s">
        <v>659</v>
      </c>
      <c r="P87" s="14" t="s">
        <v>659</v>
      </c>
      <c r="Q87" s="14"/>
      <c r="R87" s="14" t="s">
        <v>659</v>
      </c>
      <c r="S87" s="14" t="s">
        <v>658</v>
      </c>
      <c r="T87" s="14"/>
      <c r="U87" s="14"/>
      <c r="V87" s="14"/>
      <c r="W87" s="14"/>
      <c r="X87" s="14"/>
      <c r="Y87" s="14"/>
      <c r="Z87" s="14"/>
      <c r="AA87" s="16"/>
      <c r="AB87" s="14"/>
      <c r="AC87" s="16"/>
      <c r="AD87" s="14"/>
      <c r="AE87" s="14"/>
      <c r="AF87" s="14"/>
      <c r="AG87" s="14"/>
      <c r="AH87" s="14"/>
      <c r="AI87" s="14"/>
      <c r="AJ87" s="14" t="s">
        <v>696</v>
      </c>
      <c r="AK87" s="14" t="s">
        <v>1893</v>
      </c>
      <c r="AL87" s="14"/>
      <c r="AM87" s="16"/>
      <c r="AN87" s="14" t="n">
        <v>10</v>
      </c>
      <c r="AO87" s="16" t="n">
        <v>4.8</v>
      </c>
      <c r="AP87" s="14"/>
    </row>
    <row r="88" customFormat="false" ht="23.85" hidden="false" customHeight="false" outlineLevel="0" collapsed="false">
      <c r="A88" s="14" t="s">
        <v>1894</v>
      </c>
      <c r="B88" s="5" t="s">
        <v>1895</v>
      </c>
      <c r="C88" s="14" t="s">
        <v>1060</v>
      </c>
      <c r="D88" s="14" t="s">
        <v>1207</v>
      </c>
      <c r="E88" s="14" t="s">
        <v>751</v>
      </c>
      <c r="F88" s="14" t="s">
        <v>659</v>
      </c>
      <c r="G88" s="14" t="s">
        <v>82</v>
      </c>
      <c r="H88" s="14" t="s">
        <v>1551</v>
      </c>
      <c r="I88" s="14" t="n">
        <v>14</v>
      </c>
      <c r="J88" s="14"/>
      <c r="K88" s="14"/>
      <c r="L88" s="14" t="s">
        <v>1879</v>
      </c>
      <c r="M88" s="14" t="s">
        <v>1862</v>
      </c>
      <c r="N88" s="14" t="s">
        <v>1896</v>
      </c>
      <c r="O88" s="14" t="s">
        <v>659</v>
      </c>
      <c r="P88" s="14" t="s">
        <v>659</v>
      </c>
      <c r="Q88" s="14"/>
      <c r="R88" s="14" t="s">
        <v>659</v>
      </c>
      <c r="S88" s="14" t="s">
        <v>658</v>
      </c>
      <c r="T88" s="14"/>
      <c r="U88" s="14"/>
      <c r="V88" s="14"/>
      <c r="W88" s="14"/>
      <c r="X88" s="14"/>
      <c r="Y88" s="14"/>
      <c r="Z88" s="14"/>
      <c r="AA88" s="16"/>
      <c r="AB88" s="14"/>
      <c r="AC88" s="16"/>
      <c r="AD88" s="14"/>
      <c r="AE88" s="14"/>
      <c r="AF88" s="14"/>
      <c r="AG88" s="14"/>
      <c r="AH88" s="14"/>
      <c r="AI88" s="14"/>
      <c r="AJ88" s="14" t="s">
        <v>696</v>
      </c>
      <c r="AK88" s="14" t="s">
        <v>1897</v>
      </c>
      <c r="AL88" s="14"/>
      <c r="AM88" s="16"/>
      <c r="AN88" s="14" t="n">
        <v>2</v>
      </c>
      <c r="AO88" s="16" t="n">
        <v>4.8</v>
      </c>
      <c r="AP88" s="14"/>
    </row>
    <row r="89" customFormat="false" ht="23.85" hidden="false" customHeight="false" outlineLevel="0" collapsed="false">
      <c r="A89" s="14" t="s">
        <v>1898</v>
      </c>
      <c r="B89" s="5" t="s">
        <v>1899</v>
      </c>
      <c r="C89" s="14" t="s">
        <v>1060</v>
      </c>
      <c r="D89" s="14" t="s">
        <v>1207</v>
      </c>
      <c r="E89" s="14" t="s">
        <v>751</v>
      </c>
      <c r="F89" s="14" t="s">
        <v>659</v>
      </c>
      <c r="G89" s="14" t="s">
        <v>82</v>
      </c>
      <c r="H89" s="14" t="s">
        <v>1551</v>
      </c>
      <c r="I89" s="14" t="n">
        <v>14</v>
      </c>
      <c r="J89" s="14"/>
      <c r="K89" s="14"/>
      <c r="L89" s="14" t="s">
        <v>1900</v>
      </c>
      <c r="M89" s="14" t="s">
        <v>1862</v>
      </c>
      <c r="N89" s="14" t="s">
        <v>1901</v>
      </c>
      <c r="O89" s="14" t="s">
        <v>659</v>
      </c>
      <c r="P89" s="14" t="s">
        <v>659</v>
      </c>
      <c r="Q89" s="14"/>
      <c r="R89" s="14" t="s">
        <v>659</v>
      </c>
      <c r="S89" s="14" t="s">
        <v>658</v>
      </c>
      <c r="T89" s="14"/>
      <c r="U89" s="14"/>
      <c r="V89" s="14"/>
      <c r="W89" s="14"/>
      <c r="X89" s="14"/>
      <c r="Y89" s="14"/>
      <c r="Z89" s="14"/>
      <c r="AA89" s="16"/>
      <c r="AB89" s="14"/>
      <c r="AC89" s="16"/>
      <c r="AD89" s="14"/>
      <c r="AE89" s="14"/>
      <c r="AF89" s="14"/>
      <c r="AG89" s="14"/>
      <c r="AH89" s="14"/>
      <c r="AI89" s="14"/>
      <c r="AJ89" s="14" t="s">
        <v>696</v>
      </c>
      <c r="AK89" s="14" t="s">
        <v>1902</v>
      </c>
      <c r="AL89" s="14"/>
      <c r="AM89" s="16"/>
      <c r="AN89" s="14" t="n">
        <v>10</v>
      </c>
      <c r="AO89" s="16" t="n">
        <v>4.8</v>
      </c>
      <c r="AP89" s="14"/>
    </row>
    <row r="90" customFormat="false" ht="23.85" hidden="false" customHeight="false" outlineLevel="0" collapsed="false">
      <c r="A90" s="14" t="s">
        <v>1903</v>
      </c>
      <c r="B90" s="5" t="s">
        <v>1904</v>
      </c>
      <c r="C90" s="14" t="s">
        <v>1060</v>
      </c>
      <c r="D90" s="14" t="s">
        <v>1207</v>
      </c>
      <c r="E90" s="14" t="s">
        <v>751</v>
      </c>
      <c r="F90" s="14" t="s">
        <v>659</v>
      </c>
      <c r="G90" s="14" t="s">
        <v>82</v>
      </c>
      <c r="H90" s="14" t="s">
        <v>1551</v>
      </c>
      <c r="I90" s="14" t="n">
        <v>14</v>
      </c>
      <c r="J90" s="14"/>
      <c r="K90" s="14"/>
      <c r="L90" s="14" t="s">
        <v>1905</v>
      </c>
      <c r="M90" s="14" t="s">
        <v>1862</v>
      </c>
      <c r="N90" s="14" t="s">
        <v>1901</v>
      </c>
      <c r="O90" s="14" t="s">
        <v>658</v>
      </c>
      <c r="P90" s="14" t="s">
        <v>659</v>
      </c>
      <c r="Q90" s="14"/>
      <c r="R90" s="14" t="s">
        <v>659</v>
      </c>
      <c r="S90" s="14" t="s">
        <v>658</v>
      </c>
      <c r="T90" s="14"/>
      <c r="U90" s="14" t="s">
        <v>658</v>
      </c>
      <c r="V90" s="14"/>
      <c r="W90" s="14"/>
      <c r="X90" s="14"/>
      <c r="Y90" s="14"/>
      <c r="Z90" s="14"/>
      <c r="AA90" s="16" t="n">
        <v>4.2</v>
      </c>
      <c r="AB90" s="14"/>
      <c r="AC90" s="16"/>
      <c r="AD90" s="14"/>
      <c r="AE90" s="14"/>
      <c r="AF90" s="14"/>
      <c r="AG90" s="14"/>
      <c r="AH90" s="14"/>
      <c r="AI90" s="14"/>
      <c r="AJ90" s="14" t="s">
        <v>695</v>
      </c>
      <c r="AK90" s="14" t="s">
        <v>1906</v>
      </c>
      <c r="AL90" s="14" t="n">
        <v>2</v>
      </c>
      <c r="AM90" s="16" t="n">
        <v>4.2</v>
      </c>
      <c r="AN90" s="14" t="n">
        <v>1</v>
      </c>
      <c r="AO90" s="16" t="n">
        <v>4.5</v>
      </c>
      <c r="AP90" s="14"/>
    </row>
    <row r="91" customFormat="false" ht="23.85" hidden="false" customHeight="false" outlineLevel="0" collapsed="false">
      <c r="A91" s="14" t="s">
        <v>1907</v>
      </c>
      <c r="B91" s="5" t="s">
        <v>1908</v>
      </c>
      <c r="C91" s="14" t="s">
        <v>1060</v>
      </c>
      <c r="D91" s="14" t="s">
        <v>1207</v>
      </c>
      <c r="E91" s="14" t="s">
        <v>751</v>
      </c>
      <c r="F91" s="14" t="s">
        <v>659</v>
      </c>
      <c r="G91" s="14" t="s">
        <v>82</v>
      </c>
      <c r="H91" s="14" t="s">
        <v>1551</v>
      </c>
      <c r="I91" s="14" t="n">
        <v>14</v>
      </c>
      <c r="J91" s="14"/>
      <c r="K91" s="14"/>
      <c r="L91" s="14" t="s">
        <v>1879</v>
      </c>
      <c r="M91" s="14" t="s">
        <v>1862</v>
      </c>
      <c r="N91" s="14" t="s">
        <v>1909</v>
      </c>
      <c r="O91" s="14" t="s">
        <v>659</v>
      </c>
      <c r="P91" s="14" t="s">
        <v>659</v>
      </c>
      <c r="Q91" s="14"/>
      <c r="R91" s="14" t="s">
        <v>659</v>
      </c>
      <c r="S91" s="14" t="s">
        <v>658</v>
      </c>
      <c r="T91" s="14"/>
      <c r="U91" s="14"/>
      <c r="V91" s="14"/>
      <c r="W91" s="14"/>
      <c r="X91" s="14"/>
      <c r="Y91" s="14"/>
      <c r="Z91" s="14"/>
      <c r="AA91" s="16"/>
      <c r="AB91" s="14"/>
      <c r="AC91" s="16"/>
      <c r="AD91" s="14"/>
      <c r="AE91" s="14"/>
      <c r="AF91" s="14"/>
      <c r="AG91" s="14"/>
      <c r="AH91" s="14"/>
      <c r="AI91" s="14"/>
      <c r="AJ91" s="14" t="s">
        <v>696</v>
      </c>
      <c r="AK91" s="14" t="s">
        <v>1910</v>
      </c>
      <c r="AL91" s="14"/>
      <c r="AM91" s="16"/>
      <c r="AN91" s="14" t="n">
        <v>2</v>
      </c>
      <c r="AO91" s="16" t="n">
        <v>4.7</v>
      </c>
      <c r="AP91" s="14"/>
    </row>
    <row r="92" customFormat="false" ht="23.85" hidden="false" customHeight="false" outlineLevel="0" collapsed="false">
      <c r="A92" s="14" t="s">
        <v>1911</v>
      </c>
      <c r="B92" s="5" t="s">
        <v>1912</v>
      </c>
      <c r="C92" s="14" t="s">
        <v>1060</v>
      </c>
      <c r="D92" s="14" t="s">
        <v>1207</v>
      </c>
      <c r="E92" s="14" t="s">
        <v>751</v>
      </c>
      <c r="F92" s="14" t="s">
        <v>659</v>
      </c>
      <c r="G92" s="14" t="s">
        <v>82</v>
      </c>
      <c r="H92" s="14" t="s">
        <v>1551</v>
      </c>
      <c r="I92" s="14" t="n">
        <v>14</v>
      </c>
      <c r="J92" s="14"/>
      <c r="K92" s="14"/>
      <c r="L92" s="14" t="s">
        <v>1867</v>
      </c>
      <c r="M92" s="14" t="s">
        <v>1862</v>
      </c>
      <c r="N92" s="14" t="s">
        <v>1909</v>
      </c>
      <c r="O92" s="14" t="s">
        <v>659</v>
      </c>
      <c r="P92" s="14" t="s">
        <v>659</v>
      </c>
      <c r="Q92" s="14"/>
      <c r="R92" s="14" t="s">
        <v>659</v>
      </c>
      <c r="S92" s="14" t="s">
        <v>658</v>
      </c>
      <c r="T92" s="14"/>
      <c r="U92" s="14"/>
      <c r="V92" s="14"/>
      <c r="W92" s="14"/>
      <c r="X92" s="14"/>
      <c r="Y92" s="14"/>
      <c r="Z92" s="14"/>
      <c r="AA92" s="16"/>
      <c r="AB92" s="14"/>
      <c r="AC92" s="16"/>
      <c r="AD92" s="14"/>
      <c r="AE92" s="14"/>
      <c r="AF92" s="14"/>
      <c r="AG92" s="14"/>
      <c r="AH92" s="14"/>
      <c r="AI92" s="14"/>
      <c r="AJ92" s="14" t="s">
        <v>697</v>
      </c>
      <c r="AK92" s="14" t="s">
        <v>1913</v>
      </c>
      <c r="AL92" s="14"/>
      <c r="AM92" s="16"/>
      <c r="AN92" s="14" t="n">
        <v>1</v>
      </c>
      <c r="AO92" s="16" t="n">
        <v>4.8</v>
      </c>
      <c r="AP92" s="14"/>
    </row>
    <row r="93" customFormat="false" ht="23.85" hidden="false" customHeight="false" outlineLevel="0" collapsed="false">
      <c r="A93" s="14" t="s">
        <v>1914</v>
      </c>
      <c r="B93" s="5" t="s">
        <v>1915</v>
      </c>
      <c r="C93" s="14" t="s">
        <v>1060</v>
      </c>
      <c r="D93" s="14" t="s">
        <v>1207</v>
      </c>
      <c r="E93" s="14" t="s">
        <v>751</v>
      </c>
      <c r="F93" s="14" t="s">
        <v>659</v>
      </c>
      <c r="G93" s="14" t="s">
        <v>82</v>
      </c>
      <c r="H93" s="14" t="s">
        <v>1551</v>
      </c>
      <c r="I93" s="14" t="n">
        <v>14</v>
      </c>
      <c r="J93" s="14"/>
      <c r="K93" s="14"/>
      <c r="L93" s="14" t="s">
        <v>1900</v>
      </c>
      <c r="M93" s="14" t="s">
        <v>1862</v>
      </c>
      <c r="N93" s="14" t="s">
        <v>1916</v>
      </c>
      <c r="O93" s="14" t="s">
        <v>658</v>
      </c>
      <c r="P93" s="14" t="s">
        <v>659</v>
      </c>
      <c r="Q93" s="14"/>
      <c r="R93" s="14" t="s">
        <v>659</v>
      </c>
      <c r="S93" s="14" t="s">
        <v>658</v>
      </c>
      <c r="T93" s="14"/>
      <c r="U93" s="14" t="s">
        <v>658</v>
      </c>
      <c r="V93" s="14"/>
      <c r="W93" s="14"/>
      <c r="X93" s="14"/>
      <c r="Y93" s="14"/>
      <c r="Z93" s="14"/>
      <c r="AA93" s="16" t="n">
        <v>4.2</v>
      </c>
      <c r="AB93" s="14"/>
      <c r="AC93" s="16"/>
      <c r="AD93" s="14"/>
      <c r="AE93" s="14"/>
      <c r="AF93" s="14"/>
      <c r="AG93" s="14"/>
      <c r="AH93" s="14"/>
      <c r="AI93" s="14"/>
      <c r="AJ93" s="14" t="s">
        <v>695</v>
      </c>
      <c r="AK93" s="14" t="s">
        <v>1917</v>
      </c>
      <c r="AL93" s="14" t="n">
        <v>2</v>
      </c>
      <c r="AM93" s="16" t="n">
        <v>4.2</v>
      </c>
      <c r="AN93" s="14" t="n">
        <v>1</v>
      </c>
      <c r="AO93" s="16" t="n">
        <v>4.7</v>
      </c>
      <c r="AP93" s="14"/>
    </row>
    <row r="94" customFormat="false" ht="23.85" hidden="false" customHeight="false" outlineLevel="0" collapsed="false">
      <c r="A94" s="14" t="s">
        <v>1918</v>
      </c>
      <c r="B94" s="5" t="s">
        <v>1919</v>
      </c>
      <c r="C94" s="14" t="s">
        <v>1060</v>
      </c>
      <c r="D94" s="14" t="s">
        <v>1207</v>
      </c>
      <c r="E94" s="14" t="s">
        <v>751</v>
      </c>
      <c r="F94" s="14" t="s">
        <v>659</v>
      </c>
      <c r="G94" s="14" t="s">
        <v>82</v>
      </c>
      <c r="H94" s="14" t="s">
        <v>1551</v>
      </c>
      <c r="I94" s="14" t="n">
        <v>14</v>
      </c>
      <c r="J94" s="14"/>
      <c r="K94" s="14"/>
      <c r="L94" s="14" t="s">
        <v>1879</v>
      </c>
      <c r="M94" s="14" t="s">
        <v>1862</v>
      </c>
      <c r="N94" s="14" t="s">
        <v>1920</v>
      </c>
      <c r="O94" s="14" t="s">
        <v>659</v>
      </c>
      <c r="P94" s="14" t="s">
        <v>659</v>
      </c>
      <c r="Q94" s="14"/>
      <c r="R94" s="14" t="s">
        <v>659</v>
      </c>
      <c r="S94" s="14" t="s">
        <v>658</v>
      </c>
      <c r="T94" s="14"/>
      <c r="U94" s="14"/>
      <c r="V94" s="14"/>
      <c r="W94" s="14"/>
      <c r="X94" s="14"/>
      <c r="Y94" s="14"/>
      <c r="Z94" s="14"/>
      <c r="AA94" s="16"/>
      <c r="AB94" s="14"/>
      <c r="AC94" s="16"/>
      <c r="AD94" s="14"/>
      <c r="AE94" s="14"/>
      <c r="AF94" s="14"/>
      <c r="AG94" s="14"/>
      <c r="AH94" s="14"/>
      <c r="AI94" s="14"/>
      <c r="AJ94" s="14" t="s">
        <v>696</v>
      </c>
      <c r="AK94" s="14" t="s">
        <v>1921</v>
      </c>
      <c r="AL94" s="14"/>
      <c r="AM94" s="16"/>
      <c r="AN94" s="14" t="n">
        <v>2</v>
      </c>
      <c r="AO94" s="16" t="n">
        <v>4.7</v>
      </c>
      <c r="AP94" s="14"/>
    </row>
    <row r="95" customFormat="false" ht="23.85" hidden="false" customHeight="false" outlineLevel="0" collapsed="false">
      <c r="A95" s="14" t="s">
        <v>1922</v>
      </c>
      <c r="B95" s="5" t="s">
        <v>1923</v>
      </c>
      <c r="C95" s="14" t="s">
        <v>1060</v>
      </c>
      <c r="D95" s="14" t="s">
        <v>1207</v>
      </c>
      <c r="E95" s="14" t="s">
        <v>751</v>
      </c>
      <c r="F95" s="14" t="s">
        <v>659</v>
      </c>
      <c r="G95" s="14" t="s">
        <v>82</v>
      </c>
      <c r="H95" s="14" t="s">
        <v>1551</v>
      </c>
      <c r="I95" s="14" t="n">
        <v>14</v>
      </c>
      <c r="J95" s="14"/>
      <c r="K95" s="14"/>
      <c r="L95" s="14" t="s">
        <v>1924</v>
      </c>
      <c r="M95" s="14" t="s">
        <v>1862</v>
      </c>
      <c r="N95" s="14" t="s">
        <v>1920</v>
      </c>
      <c r="O95" s="14" t="s">
        <v>659</v>
      </c>
      <c r="P95" s="14" t="s">
        <v>659</v>
      </c>
      <c r="Q95" s="14"/>
      <c r="R95" s="14" t="s">
        <v>659</v>
      </c>
      <c r="S95" s="14" t="s">
        <v>658</v>
      </c>
      <c r="T95" s="14"/>
      <c r="U95" s="14"/>
      <c r="V95" s="14"/>
      <c r="W95" s="14"/>
      <c r="X95" s="14"/>
      <c r="Y95" s="14"/>
      <c r="Z95" s="14"/>
      <c r="AA95" s="16" t="n">
        <v>0</v>
      </c>
      <c r="AB95" s="14"/>
      <c r="AC95" s="16"/>
      <c r="AD95" s="14"/>
      <c r="AE95" s="14"/>
      <c r="AF95" s="14"/>
      <c r="AG95" s="14"/>
      <c r="AH95" s="14"/>
      <c r="AI95" s="14"/>
      <c r="AJ95" s="14" t="s">
        <v>696</v>
      </c>
      <c r="AK95" s="14" t="s">
        <v>1921</v>
      </c>
      <c r="AL95" s="14"/>
      <c r="AM95" s="16"/>
      <c r="AN95" s="14" t="n">
        <v>10</v>
      </c>
      <c r="AO95" s="16" t="n">
        <v>4.8</v>
      </c>
      <c r="AP95" s="14"/>
    </row>
    <row r="96" customFormat="false" ht="23.85" hidden="false" customHeight="false" outlineLevel="0" collapsed="false">
      <c r="A96" s="14" t="s">
        <v>1925</v>
      </c>
      <c r="B96" s="5" t="s">
        <v>1926</v>
      </c>
      <c r="C96" s="14" t="s">
        <v>1060</v>
      </c>
      <c r="D96" s="14" t="s">
        <v>1207</v>
      </c>
      <c r="E96" s="14" t="s">
        <v>751</v>
      </c>
      <c r="F96" s="14" t="s">
        <v>659</v>
      </c>
      <c r="G96" s="14" t="s">
        <v>82</v>
      </c>
      <c r="H96" s="14" t="s">
        <v>1551</v>
      </c>
      <c r="I96" s="14" t="n">
        <v>14</v>
      </c>
      <c r="J96" s="14"/>
      <c r="K96" s="14"/>
      <c r="L96" s="14" t="s">
        <v>1927</v>
      </c>
      <c r="M96" s="14" t="s">
        <v>1928</v>
      </c>
      <c r="N96" s="14" t="s">
        <v>1872</v>
      </c>
      <c r="O96" s="14" t="s">
        <v>658</v>
      </c>
      <c r="P96" s="14" t="s">
        <v>659</v>
      </c>
      <c r="Q96" s="14"/>
      <c r="R96" s="14" t="s">
        <v>659</v>
      </c>
      <c r="S96" s="14" t="s">
        <v>659</v>
      </c>
      <c r="T96" s="14"/>
      <c r="U96" s="14" t="s">
        <v>658</v>
      </c>
      <c r="V96" s="14"/>
      <c r="W96" s="14"/>
      <c r="X96" s="14"/>
      <c r="Y96" s="14"/>
      <c r="Z96" s="14"/>
      <c r="AA96" s="16" t="n">
        <v>4.2</v>
      </c>
      <c r="AB96" s="14"/>
      <c r="AC96" s="16"/>
      <c r="AD96" s="14"/>
      <c r="AE96" s="14"/>
      <c r="AF96" s="14"/>
      <c r="AG96" s="14"/>
      <c r="AH96" s="14"/>
      <c r="AI96" s="14"/>
      <c r="AJ96" s="14" t="s">
        <v>695</v>
      </c>
      <c r="AK96" s="14" t="s">
        <v>1929</v>
      </c>
      <c r="AL96" s="14" t="n">
        <v>1</v>
      </c>
      <c r="AM96" s="16" t="n">
        <v>4.2</v>
      </c>
      <c r="AN96" s="14"/>
      <c r="AO96" s="16"/>
      <c r="AP96" s="14"/>
    </row>
    <row r="97" customFormat="false" ht="23.85" hidden="false" customHeight="false" outlineLevel="0" collapsed="false">
      <c r="A97" s="14" t="s">
        <v>1930</v>
      </c>
      <c r="B97" s="5" t="s">
        <v>1931</v>
      </c>
      <c r="C97" s="14" t="s">
        <v>1060</v>
      </c>
      <c r="D97" s="14" t="s">
        <v>1207</v>
      </c>
      <c r="E97" s="14" t="s">
        <v>751</v>
      </c>
      <c r="F97" s="14" t="s">
        <v>659</v>
      </c>
      <c r="G97" s="14" t="s">
        <v>82</v>
      </c>
      <c r="H97" s="14" t="s">
        <v>1551</v>
      </c>
      <c r="I97" s="14" t="n">
        <v>14</v>
      </c>
      <c r="J97" s="14"/>
      <c r="K97" s="14"/>
      <c r="L97" s="14" t="s">
        <v>1927</v>
      </c>
      <c r="M97" s="14" t="s">
        <v>1928</v>
      </c>
      <c r="N97" s="14" t="s">
        <v>1872</v>
      </c>
      <c r="O97" s="14" t="s">
        <v>659</v>
      </c>
      <c r="P97" s="14" t="s">
        <v>659</v>
      </c>
      <c r="Q97" s="14"/>
      <c r="R97" s="14" t="s">
        <v>659</v>
      </c>
      <c r="S97" s="14" t="s">
        <v>658</v>
      </c>
      <c r="T97" s="14"/>
      <c r="U97" s="14"/>
      <c r="V97" s="14"/>
      <c r="W97" s="14"/>
      <c r="X97" s="14"/>
      <c r="Y97" s="14"/>
      <c r="Z97" s="14"/>
      <c r="AA97" s="16"/>
      <c r="AB97" s="14"/>
      <c r="AC97" s="16"/>
      <c r="AD97" s="14"/>
      <c r="AE97" s="14"/>
      <c r="AF97" s="14"/>
      <c r="AG97" s="14"/>
      <c r="AH97" s="14"/>
      <c r="AI97" s="14"/>
      <c r="AJ97" s="14" t="s">
        <v>696</v>
      </c>
      <c r="AK97" s="14" t="s">
        <v>1932</v>
      </c>
      <c r="AL97" s="14"/>
      <c r="AM97" s="16"/>
      <c r="AN97" s="14" t="n">
        <v>2</v>
      </c>
      <c r="AO97" s="16" t="n">
        <v>4.7</v>
      </c>
      <c r="AP97" s="14"/>
    </row>
    <row r="98" customFormat="false" ht="23.85" hidden="false" customHeight="false" outlineLevel="0" collapsed="false">
      <c r="A98" s="14" t="s">
        <v>1933</v>
      </c>
      <c r="B98" s="5" t="s">
        <v>1934</v>
      </c>
      <c r="C98" s="14" t="s">
        <v>1060</v>
      </c>
      <c r="D98" s="14" t="s">
        <v>1207</v>
      </c>
      <c r="E98" s="14" t="s">
        <v>751</v>
      </c>
      <c r="F98" s="14" t="s">
        <v>659</v>
      </c>
      <c r="G98" s="14" t="s">
        <v>82</v>
      </c>
      <c r="H98" s="14" t="s">
        <v>1551</v>
      </c>
      <c r="I98" s="14" t="n">
        <v>14</v>
      </c>
      <c r="J98" s="14"/>
      <c r="K98" s="14"/>
      <c r="L98" s="14" t="s">
        <v>1935</v>
      </c>
      <c r="M98" s="14" t="s">
        <v>1936</v>
      </c>
      <c r="N98" s="14" t="s">
        <v>1863</v>
      </c>
      <c r="O98" s="14" t="s">
        <v>658</v>
      </c>
      <c r="P98" s="14" t="s">
        <v>659</v>
      </c>
      <c r="Q98" s="14"/>
      <c r="R98" s="14" t="s">
        <v>659</v>
      </c>
      <c r="S98" s="14" t="s">
        <v>659</v>
      </c>
      <c r="T98" s="14"/>
      <c r="U98" s="14" t="s">
        <v>658</v>
      </c>
      <c r="V98" s="14"/>
      <c r="W98" s="14"/>
      <c r="X98" s="14"/>
      <c r="Y98" s="14"/>
      <c r="Z98" s="14"/>
      <c r="AA98" s="16" t="n">
        <v>4.2</v>
      </c>
      <c r="AB98" s="14"/>
      <c r="AC98" s="16"/>
      <c r="AD98" s="14"/>
      <c r="AE98" s="14"/>
      <c r="AF98" s="14"/>
      <c r="AG98" s="14"/>
      <c r="AH98" s="14"/>
      <c r="AI98" s="14"/>
      <c r="AJ98" s="14" t="s">
        <v>695</v>
      </c>
      <c r="AK98" s="14"/>
      <c r="AL98" s="14" t="n">
        <v>1</v>
      </c>
      <c r="AM98" s="16" t="n">
        <v>4.2</v>
      </c>
      <c r="AN98" s="14"/>
      <c r="AO98" s="16"/>
      <c r="AP98" s="14"/>
    </row>
    <row r="99" customFormat="false" ht="23.85" hidden="false" customHeight="false" outlineLevel="0" collapsed="false">
      <c r="A99" s="14" t="s">
        <v>1937</v>
      </c>
      <c r="B99" s="5" t="s">
        <v>1938</v>
      </c>
      <c r="C99" s="14" t="s">
        <v>1060</v>
      </c>
      <c r="D99" s="14" t="s">
        <v>1207</v>
      </c>
      <c r="E99" s="14" t="s">
        <v>751</v>
      </c>
      <c r="F99" s="14" t="s">
        <v>659</v>
      </c>
      <c r="G99" s="14" t="s">
        <v>82</v>
      </c>
      <c r="H99" s="14" t="s">
        <v>1551</v>
      </c>
      <c r="I99" s="14" t="n">
        <v>14</v>
      </c>
      <c r="J99" s="14"/>
      <c r="K99" s="14"/>
      <c r="L99" s="14" t="s">
        <v>1939</v>
      </c>
      <c r="M99" s="14" t="s">
        <v>1936</v>
      </c>
      <c r="N99" s="14" t="s">
        <v>1872</v>
      </c>
      <c r="O99" s="14" t="s">
        <v>658</v>
      </c>
      <c r="P99" s="14" t="s">
        <v>659</v>
      </c>
      <c r="Q99" s="14"/>
      <c r="R99" s="14" t="s">
        <v>659</v>
      </c>
      <c r="S99" s="14" t="s">
        <v>659</v>
      </c>
      <c r="T99" s="14"/>
      <c r="U99" s="14" t="s">
        <v>658</v>
      </c>
      <c r="V99" s="14"/>
      <c r="W99" s="14"/>
      <c r="X99" s="14"/>
      <c r="Y99" s="14"/>
      <c r="Z99" s="14"/>
      <c r="AA99" s="16" t="n">
        <v>4.2</v>
      </c>
      <c r="AB99" s="14"/>
      <c r="AC99" s="16"/>
      <c r="AD99" s="14"/>
      <c r="AE99" s="14"/>
      <c r="AF99" s="14"/>
      <c r="AG99" s="14"/>
      <c r="AH99" s="14"/>
      <c r="AI99" s="14"/>
      <c r="AJ99" s="14" t="s">
        <v>695</v>
      </c>
      <c r="AK99" s="14" t="s">
        <v>1940</v>
      </c>
      <c r="AL99" s="14" t="n">
        <v>1</v>
      </c>
      <c r="AM99" s="16" t="n">
        <v>4.2</v>
      </c>
      <c r="AN99" s="14"/>
      <c r="AO99" s="16"/>
      <c r="AP99" s="14"/>
    </row>
    <row r="100" customFormat="false" ht="23.85" hidden="false" customHeight="false" outlineLevel="0" collapsed="false">
      <c r="A100" s="14" t="s">
        <v>1941</v>
      </c>
      <c r="B100" s="5" t="s">
        <v>1942</v>
      </c>
      <c r="C100" s="14" t="s">
        <v>1060</v>
      </c>
      <c r="D100" s="14" t="s">
        <v>1207</v>
      </c>
      <c r="E100" s="14" t="s">
        <v>751</v>
      </c>
      <c r="F100" s="14" t="s">
        <v>659</v>
      </c>
      <c r="G100" s="14" t="s">
        <v>82</v>
      </c>
      <c r="H100" s="14" t="s">
        <v>1551</v>
      </c>
      <c r="I100" s="14" t="n">
        <v>14</v>
      </c>
      <c r="J100" s="14"/>
      <c r="K100" s="14"/>
      <c r="L100" s="14" t="s">
        <v>1943</v>
      </c>
      <c r="M100" s="14" t="s">
        <v>1936</v>
      </c>
      <c r="N100" s="14" t="s">
        <v>1872</v>
      </c>
      <c r="O100" s="14" t="s">
        <v>658</v>
      </c>
      <c r="P100" s="14" t="s">
        <v>659</v>
      </c>
      <c r="Q100" s="14"/>
      <c r="R100" s="14" t="s">
        <v>659</v>
      </c>
      <c r="S100" s="14" t="s">
        <v>659</v>
      </c>
      <c r="T100" s="14"/>
      <c r="U100" s="14" t="s">
        <v>658</v>
      </c>
      <c r="V100" s="14"/>
      <c r="W100" s="14"/>
      <c r="X100" s="14"/>
      <c r="Y100" s="14"/>
      <c r="Z100" s="14"/>
      <c r="AA100" s="16" t="n">
        <v>4.2</v>
      </c>
      <c r="AB100" s="14"/>
      <c r="AC100" s="16"/>
      <c r="AD100" s="14"/>
      <c r="AE100" s="14"/>
      <c r="AF100" s="14"/>
      <c r="AG100" s="14"/>
      <c r="AH100" s="14"/>
      <c r="AI100" s="14"/>
      <c r="AJ100" s="14" t="s">
        <v>695</v>
      </c>
      <c r="AK100" s="14" t="s">
        <v>1944</v>
      </c>
      <c r="AL100" s="14" t="n">
        <v>1</v>
      </c>
      <c r="AM100" s="16" t="n">
        <v>4.2</v>
      </c>
      <c r="AN100" s="14" t="n">
        <v>0</v>
      </c>
      <c r="AO100" s="16"/>
      <c r="AP100" s="14"/>
    </row>
    <row r="101" customFormat="false" ht="23.85" hidden="false" customHeight="false" outlineLevel="0" collapsed="false">
      <c r="A101" s="14" t="s">
        <v>1945</v>
      </c>
      <c r="B101" s="5" t="s">
        <v>1946</v>
      </c>
      <c r="C101" s="14" t="s">
        <v>1060</v>
      </c>
      <c r="D101" s="14" t="s">
        <v>1207</v>
      </c>
      <c r="E101" s="14" t="s">
        <v>751</v>
      </c>
      <c r="F101" s="14" t="s">
        <v>659</v>
      </c>
      <c r="G101" s="14" t="s">
        <v>82</v>
      </c>
      <c r="H101" s="14" t="s">
        <v>1551</v>
      </c>
      <c r="I101" s="14" t="n">
        <v>14</v>
      </c>
      <c r="J101" s="14"/>
      <c r="K101" s="14"/>
      <c r="L101" s="14" t="s">
        <v>1947</v>
      </c>
      <c r="M101" s="14" t="s">
        <v>1936</v>
      </c>
      <c r="N101" s="14" t="s">
        <v>1883</v>
      </c>
      <c r="O101" s="14" t="s">
        <v>658</v>
      </c>
      <c r="P101" s="14" t="s">
        <v>659</v>
      </c>
      <c r="Q101" s="14"/>
      <c r="R101" s="14" t="s">
        <v>659</v>
      </c>
      <c r="S101" s="14" t="s">
        <v>659</v>
      </c>
      <c r="T101" s="14"/>
      <c r="U101" s="14" t="s">
        <v>658</v>
      </c>
      <c r="V101" s="14"/>
      <c r="W101" s="14"/>
      <c r="X101" s="14"/>
      <c r="Y101" s="14"/>
      <c r="Z101" s="14"/>
      <c r="AA101" s="16" t="n">
        <v>4.2</v>
      </c>
      <c r="AB101" s="14"/>
      <c r="AC101" s="16"/>
      <c r="AD101" s="14"/>
      <c r="AE101" s="14"/>
      <c r="AF101" s="14"/>
      <c r="AG101" s="14"/>
      <c r="AH101" s="14"/>
      <c r="AI101" s="14"/>
      <c r="AJ101" s="14" t="s">
        <v>695</v>
      </c>
      <c r="AK101" s="14" t="s">
        <v>1948</v>
      </c>
      <c r="AL101" s="14" t="n">
        <v>1</v>
      </c>
      <c r="AM101" s="16" t="n">
        <v>4.2</v>
      </c>
      <c r="AN101" s="14" t="n">
        <v>0</v>
      </c>
      <c r="AO101" s="16"/>
      <c r="AP101" s="14"/>
    </row>
    <row r="102" customFormat="false" ht="23.85" hidden="false" customHeight="false" outlineLevel="0" collapsed="false">
      <c r="A102" s="14" t="s">
        <v>1949</v>
      </c>
      <c r="B102" s="14" t="s">
        <v>1950</v>
      </c>
      <c r="C102" s="14" t="s">
        <v>1062</v>
      </c>
      <c r="D102" s="14" t="s">
        <v>1209</v>
      </c>
      <c r="E102" s="14" t="s">
        <v>750</v>
      </c>
      <c r="F102" s="14" t="s">
        <v>659</v>
      </c>
      <c r="G102" s="14" t="s">
        <v>82</v>
      </c>
      <c r="H102" s="14" t="s">
        <v>1551</v>
      </c>
      <c r="I102" s="14" t="n">
        <v>14</v>
      </c>
      <c r="J102" s="14" t="s">
        <v>1951</v>
      </c>
      <c r="K102" s="14" t="s">
        <v>1952</v>
      </c>
      <c r="L102" s="14" t="s">
        <v>1953</v>
      </c>
      <c r="M102" s="14"/>
      <c r="N102" s="14"/>
      <c r="O102" s="14" t="s">
        <v>658</v>
      </c>
      <c r="P102" s="14" t="s">
        <v>658</v>
      </c>
      <c r="Q102" s="14"/>
      <c r="R102" s="14" t="s">
        <v>659</v>
      </c>
      <c r="S102" s="14" t="s">
        <v>658</v>
      </c>
      <c r="T102" s="14" t="s">
        <v>658</v>
      </c>
      <c r="U102" s="14" t="s">
        <v>658</v>
      </c>
      <c r="V102" s="14" t="s">
        <v>659</v>
      </c>
      <c r="W102" s="14" t="s">
        <v>658</v>
      </c>
      <c r="X102" s="14" t="s">
        <v>658</v>
      </c>
      <c r="Y102" s="14" t="s">
        <v>658</v>
      </c>
      <c r="Z102" s="14" t="s">
        <v>658</v>
      </c>
      <c r="AA102" s="16" t="n">
        <v>4.3</v>
      </c>
      <c r="AB102" s="14" t="s">
        <v>671</v>
      </c>
      <c r="AC102" s="16" t="n">
        <v>5.5</v>
      </c>
      <c r="AD102" s="14"/>
      <c r="AE102" s="14" t="s">
        <v>687</v>
      </c>
      <c r="AF102" s="14" t="s">
        <v>691</v>
      </c>
      <c r="AG102" s="14" t="s">
        <v>693</v>
      </c>
      <c r="AH102" s="14" t="s">
        <v>828</v>
      </c>
      <c r="AI102" s="14"/>
      <c r="AJ102" s="14"/>
      <c r="AK102" s="14"/>
      <c r="AL102" s="14"/>
      <c r="AM102" s="16"/>
      <c r="AN102" s="14"/>
      <c r="AO102" s="16"/>
      <c r="AP102" s="5" t="s">
        <v>1954</v>
      </c>
    </row>
    <row r="103" customFormat="false" ht="15" hidden="false" customHeight="false" outlineLevel="0" collapsed="false">
      <c r="A103" s="14" t="s">
        <v>1955</v>
      </c>
      <c r="B103" s="14" t="s">
        <v>1956</v>
      </c>
      <c r="C103" s="14" t="s">
        <v>1062</v>
      </c>
      <c r="D103" s="14" t="s">
        <v>1209</v>
      </c>
      <c r="E103" s="14" t="s">
        <v>750</v>
      </c>
      <c r="F103" s="14" t="s">
        <v>659</v>
      </c>
      <c r="G103" s="14" t="s">
        <v>82</v>
      </c>
      <c r="H103" s="14" t="s">
        <v>1551</v>
      </c>
      <c r="I103" s="14" t="n">
        <v>14</v>
      </c>
      <c r="J103" s="14" t="s">
        <v>1957</v>
      </c>
      <c r="K103" s="14" t="s">
        <v>1952</v>
      </c>
      <c r="L103" s="5" t="s">
        <v>1958</v>
      </c>
      <c r="M103" s="14"/>
      <c r="N103" s="14"/>
      <c r="O103" s="14" t="s">
        <v>658</v>
      </c>
      <c r="P103" s="14" t="s">
        <v>658</v>
      </c>
      <c r="Q103" s="14"/>
      <c r="R103" s="14" t="s">
        <v>658</v>
      </c>
      <c r="S103" s="14" t="s">
        <v>658</v>
      </c>
      <c r="T103" s="14" t="s">
        <v>658</v>
      </c>
      <c r="U103" s="14" t="s">
        <v>659</v>
      </c>
      <c r="V103" s="14" t="s">
        <v>659</v>
      </c>
      <c r="W103" s="14" t="s">
        <v>658</v>
      </c>
      <c r="X103" s="14" t="s">
        <v>659</v>
      </c>
      <c r="Y103" s="14" t="s">
        <v>658</v>
      </c>
      <c r="Z103" s="14" t="s">
        <v>658</v>
      </c>
      <c r="AA103" s="16" t="n">
        <v>4.8</v>
      </c>
      <c r="AB103" s="14" t="s">
        <v>671</v>
      </c>
      <c r="AC103" s="16" t="n">
        <v>5.5</v>
      </c>
      <c r="AD103" s="14"/>
      <c r="AE103" s="14" t="s">
        <v>687</v>
      </c>
      <c r="AF103" s="14" t="s">
        <v>691</v>
      </c>
      <c r="AG103" s="14" t="s">
        <v>693</v>
      </c>
      <c r="AH103" s="14" t="s">
        <v>828</v>
      </c>
      <c r="AI103" s="14"/>
      <c r="AJ103" s="14"/>
      <c r="AK103" s="14"/>
      <c r="AL103" s="14"/>
      <c r="AM103" s="16"/>
      <c r="AN103" s="14"/>
      <c r="AO103" s="16"/>
      <c r="AP103" s="14" t="s">
        <v>1959</v>
      </c>
    </row>
    <row r="104" customFormat="false" ht="15" hidden="false" customHeight="false" outlineLevel="0" collapsed="false">
      <c r="A104" s="14" t="s">
        <v>1960</v>
      </c>
      <c r="B104" s="14" t="s">
        <v>1961</v>
      </c>
      <c r="C104" s="14" t="s">
        <v>1062</v>
      </c>
      <c r="D104" s="14" t="s">
        <v>1209</v>
      </c>
      <c r="E104" s="14" t="s">
        <v>750</v>
      </c>
      <c r="F104" s="14" t="s">
        <v>659</v>
      </c>
      <c r="G104" s="14" t="s">
        <v>82</v>
      </c>
      <c r="H104" s="14" t="s">
        <v>1551</v>
      </c>
      <c r="I104" s="14" t="n">
        <v>14</v>
      </c>
      <c r="J104" s="14" t="s">
        <v>1962</v>
      </c>
      <c r="K104" s="14" t="s">
        <v>1952</v>
      </c>
      <c r="L104" s="14" t="s">
        <v>1963</v>
      </c>
      <c r="M104" s="14"/>
      <c r="N104" s="14"/>
      <c r="O104" s="14" t="s">
        <v>658</v>
      </c>
      <c r="P104" s="14" t="s">
        <v>658</v>
      </c>
      <c r="Q104" s="14"/>
      <c r="R104" s="14" t="s">
        <v>658</v>
      </c>
      <c r="S104" s="14" t="s">
        <v>659</v>
      </c>
      <c r="T104" s="14" t="s">
        <v>659</v>
      </c>
      <c r="U104" s="14" t="s">
        <v>659</v>
      </c>
      <c r="V104" s="14" t="s">
        <v>659</v>
      </c>
      <c r="W104" s="14" t="s">
        <v>659</v>
      </c>
      <c r="X104" s="14" t="s">
        <v>659</v>
      </c>
      <c r="Y104" s="14" t="s">
        <v>658</v>
      </c>
      <c r="Z104" s="14" t="s">
        <v>658</v>
      </c>
      <c r="AA104" s="16" t="n">
        <v>4</v>
      </c>
      <c r="AB104" s="14"/>
      <c r="AC104" s="16"/>
      <c r="AD104" s="14"/>
      <c r="AE104" s="14" t="s">
        <v>687</v>
      </c>
      <c r="AF104" s="14" t="s">
        <v>691</v>
      </c>
      <c r="AG104" s="14" t="s">
        <v>693</v>
      </c>
      <c r="AH104" s="14" t="s">
        <v>828</v>
      </c>
      <c r="AI104" s="14"/>
      <c r="AJ104" s="14"/>
      <c r="AK104" s="14"/>
      <c r="AL104" s="14"/>
      <c r="AM104" s="16"/>
      <c r="AN104" s="14"/>
      <c r="AO104" s="16"/>
      <c r="AP104" s="14" t="s">
        <v>1964</v>
      </c>
    </row>
    <row r="105" customFormat="false" ht="15" hidden="false" customHeight="false" outlineLevel="0" collapsed="false">
      <c r="A105" s="14" t="s">
        <v>1965</v>
      </c>
      <c r="B105" s="14" t="s">
        <v>1966</v>
      </c>
      <c r="C105" s="14" t="s">
        <v>1062</v>
      </c>
      <c r="D105" s="14" t="s">
        <v>1209</v>
      </c>
      <c r="E105" s="14" t="s">
        <v>750</v>
      </c>
      <c r="F105" s="14" t="s">
        <v>659</v>
      </c>
      <c r="G105" s="14" t="s">
        <v>82</v>
      </c>
      <c r="H105" s="14" t="s">
        <v>1551</v>
      </c>
      <c r="I105" s="14" t="n">
        <v>14</v>
      </c>
      <c r="J105" s="14" t="s">
        <v>1967</v>
      </c>
      <c r="K105" s="14" t="s">
        <v>1952</v>
      </c>
      <c r="L105" s="14" t="s">
        <v>1968</v>
      </c>
      <c r="M105" s="14"/>
      <c r="N105" s="14"/>
      <c r="O105" s="14" t="s">
        <v>658</v>
      </c>
      <c r="P105" s="14" t="s">
        <v>658</v>
      </c>
      <c r="Q105" s="14"/>
      <c r="R105" s="14" t="s">
        <v>658</v>
      </c>
      <c r="S105" s="14" t="s">
        <v>658</v>
      </c>
      <c r="T105" s="14"/>
      <c r="U105" s="14" t="s">
        <v>658</v>
      </c>
      <c r="V105" s="14" t="s">
        <v>659</v>
      </c>
      <c r="W105" s="14" t="s">
        <v>659</v>
      </c>
      <c r="X105" s="14" t="s">
        <v>659</v>
      </c>
      <c r="Y105" s="14" t="s">
        <v>658</v>
      </c>
      <c r="Z105" s="14" t="s">
        <v>658</v>
      </c>
      <c r="AA105" s="16" t="n">
        <v>4.5</v>
      </c>
      <c r="AB105" s="14"/>
      <c r="AC105" s="16"/>
      <c r="AD105" s="14"/>
      <c r="AE105" s="14" t="s">
        <v>687</v>
      </c>
      <c r="AF105" s="14" t="s">
        <v>691</v>
      </c>
      <c r="AG105" s="14" t="s">
        <v>693</v>
      </c>
      <c r="AH105" s="14" t="s">
        <v>828</v>
      </c>
      <c r="AI105" s="14"/>
      <c r="AJ105" s="14"/>
      <c r="AK105" s="14"/>
      <c r="AL105" s="14"/>
      <c r="AM105" s="16"/>
      <c r="AN105" s="14"/>
      <c r="AO105" s="16"/>
      <c r="AP105" s="14" t="s">
        <v>1964</v>
      </c>
    </row>
    <row r="106" customFormat="false" ht="35.05" hidden="false" customHeight="false" outlineLevel="0" collapsed="false">
      <c r="A106" s="14" t="s">
        <v>1969</v>
      </c>
      <c r="B106" s="14" t="s">
        <v>1970</v>
      </c>
      <c r="C106" s="14" t="s">
        <v>1062</v>
      </c>
      <c r="D106" s="14" t="s">
        <v>1209</v>
      </c>
      <c r="E106" s="14" t="s">
        <v>750</v>
      </c>
      <c r="F106" s="14" t="s">
        <v>659</v>
      </c>
      <c r="G106" s="14" t="s">
        <v>82</v>
      </c>
      <c r="H106" s="14" t="s">
        <v>1551</v>
      </c>
      <c r="I106" s="14" t="n">
        <v>14</v>
      </c>
      <c r="J106" s="14" t="s">
        <v>1971</v>
      </c>
      <c r="K106" s="14" t="s">
        <v>1952</v>
      </c>
      <c r="L106" s="14" t="s">
        <v>1972</v>
      </c>
      <c r="M106" s="14"/>
      <c r="N106" s="14"/>
      <c r="O106" s="14" t="s">
        <v>658</v>
      </c>
      <c r="P106" s="14" t="s">
        <v>658</v>
      </c>
      <c r="Q106" s="14"/>
      <c r="R106" s="14" t="s">
        <v>658</v>
      </c>
      <c r="S106" s="14" t="s">
        <v>658</v>
      </c>
      <c r="T106" s="14" t="s">
        <v>658</v>
      </c>
      <c r="U106" s="14" t="s">
        <v>659</v>
      </c>
      <c r="V106" s="14" t="s">
        <v>659</v>
      </c>
      <c r="W106" s="14" t="s">
        <v>659</v>
      </c>
      <c r="X106" s="14" t="s">
        <v>659</v>
      </c>
      <c r="Y106" s="14" t="s">
        <v>658</v>
      </c>
      <c r="Z106" s="14" t="s">
        <v>658</v>
      </c>
      <c r="AA106" s="16" t="n">
        <v>4</v>
      </c>
      <c r="AB106" s="14"/>
      <c r="AC106" s="16"/>
      <c r="AD106" s="14"/>
      <c r="AE106" s="14" t="s">
        <v>687</v>
      </c>
      <c r="AF106" s="14" t="s">
        <v>691</v>
      </c>
      <c r="AG106" s="14"/>
      <c r="AH106" s="14" t="s">
        <v>828</v>
      </c>
      <c r="AI106" s="14"/>
      <c r="AJ106" s="14"/>
      <c r="AK106" s="14"/>
      <c r="AL106" s="14"/>
      <c r="AM106" s="16"/>
      <c r="AN106" s="14"/>
      <c r="AO106" s="16"/>
      <c r="AP106" s="5" t="s">
        <v>1973</v>
      </c>
    </row>
    <row r="107" customFormat="false" ht="15" hidden="false" customHeight="false" outlineLevel="0" collapsed="false">
      <c r="A107" s="14" t="s">
        <v>1974</v>
      </c>
      <c r="B107" s="14" t="s">
        <v>1975</v>
      </c>
      <c r="C107" s="14" t="s">
        <v>1062</v>
      </c>
      <c r="D107" s="14" t="s">
        <v>1209</v>
      </c>
      <c r="E107" s="14" t="s">
        <v>750</v>
      </c>
      <c r="F107" s="14" t="s">
        <v>659</v>
      </c>
      <c r="G107" s="14" t="s">
        <v>82</v>
      </c>
      <c r="H107" s="14" t="s">
        <v>1551</v>
      </c>
      <c r="I107" s="14" t="n">
        <v>14</v>
      </c>
      <c r="J107" s="14" t="s">
        <v>1976</v>
      </c>
      <c r="K107" s="14" t="s">
        <v>1952</v>
      </c>
      <c r="L107" s="14" t="s">
        <v>1977</v>
      </c>
      <c r="M107" s="14"/>
      <c r="N107" s="14"/>
      <c r="O107" s="14" t="s">
        <v>658</v>
      </c>
      <c r="P107" s="14" t="s">
        <v>658</v>
      </c>
      <c r="Q107" s="14"/>
      <c r="R107" s="14" t="s">
        <v>658</v>
      </c>
      <c r="S107" s="14" t="s">
        <v>659</v>
      </c>
      <c r="T107" s="14" t="s">
        <v>659</v>
      </c>
      <c r="U107" s="14" t="s">
        <v>659</v>
      </c>
      <c r="V107" s="14" t="s">
        <v>659</v>
      </c>
      <c r="W107" s="14" t="s">
        <v>659</v>
      </c>
      <c r="X107" s="14" t="s">
        <v>659</v>
      </c>
      <c r="Y107" s="14" t="s">
        <v>658</v>
      </c>
      <c r="Z107" s="14" t="s">
        <v>659</v>
      </c>
      <c r="AA107" s="16" t="n">
        <v>4.8</v>
      </c>
      <c r="AB107" s="14"/>
      <c r="AC107" s="16"/>
      <c r="AD107" s="14"/>
      <c r="AE107" s="14" t="s">
        <v>687</v>
      </c>
      <c r="AF107" s="14" t="s">
        <v>691</v>
      </c>
      <c r="AG107" s="14" t="s">
        <v>693</v>
      </c>
      <c r="AH107" s="14" t="s">
        <v>828</v>
      </c>
      <c r="AI107" s="14"/>
      <c r="AJ107" s="14"/>
      <c r="AK107" s="14"/>
      <c r="AL107" s="14"/>
      <c r="AM107" s="16"/>
      <c r="AN107" s="14"/>
      <c r="AO107" s="16"/>
      <c r="AP107" s="14" t="s">
        <v>1978</v>
      </c>
    </row>
    <row r="108" customFormat="false" ht="23.85" hidden="false" customHeight="false" outlineLevel="0" collapsed="false">
      <c r="A108" s="14" t="s">
        <v>1979</v>
      </c>
      <c r="B108" s="5" t="s">
        <v>1980</v>
      </c>
      <c r="C108" s="14" t="s">
        <v>1062</v>
      </c>
      <c r="D108" s="14" t="s">
        <v>1209</v>
      </c>
      <c r="E108" s="14" t="s">
        <v>751</v>
      </c>
      <c r="F108" s="14" t="s">
        <v>659</v>
      </c>
      <c r="G108" s="14" t="s">
        <v>82</v>
      </c>
      <c r="H108" s="14" t="s">
        <v>1551</v>
      </c>
      <c r="I108" s="14" t="n">
        <v>14</v>
      </c>
      <c r="J108" s="14"/>
      <c r="K108" s="14"/>
      <c r="L108" s="14" t="s">
        <v>1981</v>
      </c>
      <c r="M108" s="14" t="s">
        <v>1982</v>
      </c>
      <c r="N108" s="14" t="s">
        <v>1983</v>
      </c>
      <c r="O108" s="14" t="s">
        <v>658</v>
      </c>
      <c r="P108" s="14" t="s">
        <v>658</v>
      </c>
      <c r="Q108" s="14"/>
      <c r="R108" s="14" t="s">
        <v>659</v>
      </c>
      <c r="S108" s="14" t="s">
        <v>659</v>
      </c>
      <c r="T108" s="14"/>
      <c r="U108" s="14" t="s">
        <v>658</v>
      </c>
      <c r="V108" s="14"/>
      <c r="W108" s="14"/>
      <c r="X108" s="14"/>
      <c r="Y108" s="14"/>
      <c r="Z108" s="14"/>
      <c r="AA108" s="16" t="n">
        <v>4.2</v>
      </c>
      <c r="AB108" s="14"/>
      <c r="AC108" s="16"/>
      <c r="AD108" s="14"/>
      <c r="AE108" s="14"/>
      <c r="AF108" s="14"/>
      <c r="AG108" s="14"/>
      <c r="AH108" s="14"/>
      <c r="AI108" s="14"/>
      <c r="AJ108" s="14"/>
      <c r="AK108" s="14" t="s">
        <v>1984</v>
      </c>
      <c r="AL108" s="14" t="n">
        <v>2</v>
      </c>
      <c r="AM108" s="16" t="n">
        <v>4.2</v>
      </c>
      <c r="AN108" s="14"/>
      <c r="AO108" s="16"/>
      <c r="AP108" s="14"/>
    </row>
    <row r="109" customFormat="false" ht="23.85" hidden="false" customHeight="false" outlineLevel="0" collapsed="false">
      <c r="A109" s="14" t="s">
        <v>1985</v>
      </c>
      <c r="B109" s="5" t="s">
        <v>1986</v>
      </c>
      <c r="C109" s="14" t="s">
        <v>1062</v>
      </c>
      <c r="D109" s="14" t="s">
        <v>1209</v>
      </c>
      <c r="E109" s="14" t="s">
        <v>751</v>
      </c>
      <c r="F109" s="14" t="s">
        <v>659</v>
      </c>
      <c r="G109" s="14" t="s">
        <v>82</v>
      </c>
      <c r="H109" s="14" t="s">
        <v>1551</v>
      </c>
      <c r="I109" s="14" t="n">
        <v>14</v>
      </c>
      <c r="J109" s="14"/>
      <c r="K109" s="14"/>
      <c r="L109" s="14" t="s">
        <v>1987</v>
      </c>
      <c r="M109" s="14" t="s">
        <v>1988</v>
      </c>
      <c r="N109" s="14" t="n">
        <v>2</v>
      </c>
      <c r="O109" s="14" t="s">
        <v>658</v>
      </c>
      <c r="P109" s="14" t="s">
        <v>658</v>
      </c>
      <c r="Q109" s="14"/>
      <c r="R109" s="14" t="s">
        <v>659</v>
      </c>
      <c r="S109" s="14" t="s">
        <v>659</v>
      </c>
      <c r="T109" s="14"/>
      <c r="U109" s="14" t="s">
        <v>658</v>
      </c>
      <c r="V109" s="14"/>
      <c r="W109" s="14"/>
      <c r="X109" s="14"/>
      <c r="Y109" s="14"/>
      <c r="Z109" s="14"/>
      <c r="AA109" s="16" t="n">
        <v>4.2</v>
      </c>
      <c r="AB109" s="14"/>
      <c r="AC109" s="16"/>
      <c r="AD109" s="14"/>
      <c r="AE109" s="14"/>
      <c r="AF109" s="14"/>
      <c r="AG109" s="14"/>
      <c r="AH109" s="14"/>
      <c r="AI109" s="14"/>
      <c r="AJ109" s="14" t="s">
        <v>1989</v>
      </c>
      <c r="AK109" s="14" t="s">
        <v>1990</v>
      </c>
      <c r="AL109" s="14" t="n">
        <v>1</v>
      </c>
      <c r="AM109" s="16" t="n">
        <v>4.2</v>
      </c>
      <c r="AN109" s="14"/>
      <c r="AO109" s="16"/>
      <c r="AP109" s="14"/>
    </row>
    <row r="110" customFormat="false" ht="23.85" hidden="false" customHeight="false" outlineLevel="0" collapsed="false">
      <c r="A110" s="14" t="s">
        <v>1991</v>
      </c>
      <c r="B110" s="5" t="s">
        <v>1992</v>
      </c>
      <c r="C110" s="14" t="s">
        <v>1062</v>
      </c>
      <c r="D110" s="14" t="s">
        <v>1209</v>
      </c>
      <c r="E110" s="14" t="s">
        <v>751</v>
      </c>
      <c r="F110" s="14" t="s">
        <v>659</v>
      </c>
      <c r="G110" s="14" t="s">
        <v>82</v>
      </c>
      <c r="H110" s="14" t="s">
        <v>1551</v>
      </c>
      <c r="I110" s="14" t="n">
        <v>14</v>
      </c>
      <c r="J110" s="14"/>
      <c r="K110" s="14"/>
      <c r="L110" s="14" t="s">
        <v>1987</v>
      </c>
      <c r="M110" s="14" t="s">
        <v>1988</v>
      </c>
      <c r="N110" s="14" t="n">
        <v>2</v>
      </c>
      <c r="O110" s="14" t="s">
        <v>658</v>
      </c>
      <c r="P110" s="14" t="s">
        <v>659</v>
      </c>
      <c r="Q110" s="14"/>
      <c r="R110" s="14" t="s">
        <v>659</v>
      </c>
      <c r="S110" s="14" t="s">
        <v>659</v>
      </c>
      <c r="T110" s="14"/>
      <c r="U110" s="14" t="s">
        <v>658</v>
      </c>
      <c r="V110" s="14"/>
      <c r="W110" s="14"/>
      <c r="X110" s="14"/>
      <c r="Y110" s="14"/>
      <c r="Z110" s="14"/>
      <c r="AA110" s="16" t="n">
        <v>4.2</v>
      </c>
      <c r="AB110" s="14"/>
      <c r="AC110" s="16"/>
      <c r="AD110" s="14"/>
      <c r="AE110" s="14"/>
      <c r="AF110" s="14"/>
      <c r="AG110" s="14"/>
      <c r="AH110" s="14"/>
      <c r="AI110" s="14"/>
      <c r="AJ110" s="14" t="s">
        <v>1989</v>
      </c>
      <c r="AK110" s="14" t="s">
        <v>1993</v>
      </c>
      <c r="AL110" s="14" t="n">
        <v>2</v>
      </c>
      <c r="AM110" s="16" t="n">
        <v>4.2</v>
      </c>
      <c r="AN110" s="14"/>
      <c r="AO110" s="16"/>
      <c r="AP110" s="14"/>
    </row>
    <row r="111" customFormat="false" ht="23.85" hidden="false" customHeight="false" outlineLevel="0" collapsed="false">
      <c r="A111" s="14" t="s">
        <v>1994</v>
      </c>
      <c r="B111" s="5" t="s">
        <v>1995</v>
      </c>
      <c r="C111" s="14" t="s">
        <v>1062</v>
      </c>
      <c r="D111" s="14" t="s">
        <v>1209</v>
      </c>
      <c r="E111" s="14" t="s">
        <v>751</v>
      </c>
      <c r="F111" s="14" t="s">
        <v>659</v>
      </c>
      <c r="G111" s="14" t="s">
        <v>82</v>
      </c>
      <c r="H111" s="14" t="s">
        <v>1551</v>
      </c>
      <c r="I111" s="14" t="n">
        <v>14</v>
      </c>
      <c r="J111" s="14"/>
      <c r="K111" s="14"/>
      <c r="L111" s="14" t="s">
        <v>1987</v>
      </c>
      <c r="M111" s="14" t="s">
        <v>1988</v>
      </c>
      <c r="N111" s="14" t="n">
        <v>2</v>
      </c>
      <c r="O111" s="14" t="s">
        <v>659</v>
      </c>
      <c r="P111" s="14" t="s">
        <v>659</v>
      </c>
      <c r="Q111" s="14"/>
      <c r="R111" s="14" t="s">
        <v>659</v>
      </c>
      <c r="S111" s="14" t="s">
        <v>659</v>
      </c>
      <c r="T111" s="14"/>
      <c r="U111" s="14" t="s">
        <v>659</v>
      </c>
      <c r="V111" s="14"/>
      <c r="W111" s="14"/>
      <c r="X111" s="14"/>
      <c r="Y111" s="14"/>
      <c r="Z111" s="14"/>
      <c r="AA111" s="16"/>
      <c r="AB111" s="14"/>
      <c r="AC111" s="16"/>
      <c r="AD111" s="14"/>
      <c r="AE111" s="14"/>
      <c r="AF111" s="14"/>
      <c r="AG111" s="14"/>
      <c r="AH111" s="14"/>
      <c r="AI111" s="14"/>
      <c r="AJ111" s="14" t="s">
        <v>1996</v>
      </c>
      <c r="AK111" s="14" t="s">
        <v>1997</v>
      </c>
      <c r="AL111" s="14" t="n">
        <v>0</v>
      </c>
      <c r="AM111" s="16"/>
      <c r="AN111" s="14"/>
      <c r="AO111" s="16"/>
      <c r="AP111" s="14"/>
    </row>
    <row r="112" customFormat="false" ht="23.85" hidden="false" customHeight="false" outlineLevel="0" collapsed="false">
      <c r="A112" s="14" t="s">
        <v>1998</v>
      </c>
      <c r="B112" s="5" t="s">
        <v>1999</v>
      </c>
      <c r="C112" s="14" t="s">
        <v>1062</v>
      </c>
      <c r="D112" s="14" t="s">
        <v>1209</v>
      </c>
      <c r="E112" s="14" t="s">
        <v>751</v>
      </c>
      <c r="F112" s="14" t="s">
        <v>659</v>
      </c>
      <c r="G112" s="14" t="s">
        <v>82</v>
      </c>
      <c r="H112" s="14" t="s">
        <v>1551</v>
      </c>
      <c r="I112" s="14" t="n">
        <v>14</v>
      </c>
      <c r="J112" s="14"/>
      <c r="K112" s="14"/>
      <c r="L112" s="14" t="s">
        <v>2000</v>
      </c>
      <c r="M112" s="14" t="s">
        <v>2001</v>
      </c>
      <c r="N112" s="14" t="n">
        <v>2</v>
      </c>
      <c r="O112" s="14" t="s">
        <v>658</v>
      </c>
      <c r="P112" s="14" t="s">
        <v>659</v>
      </c>
      <c r="Q112" s="14"/>
      <c r="R112" s="14" t="s">
        <v>659</v>
      </c>
      <c r="S112" s="14" t="s">
        <v>659</v>
      </c>
      <c r="T112" s="14"/>
      <c r="U112" s="14" t="s">
        <v>658</v>
      </c>
      <c r="V112" s="14"/>
      <c r="W112" s="14"/>
      <c r="X112" s="14"/>
      <c r="Y112" s="14"/>
      <c r="Z112" s="14"/>
      <c r="AA112" s="16" t="n">
        <v>4.2</v>
      </c>
      <c r="AB112" s="14"/>
      <c r="AC112" s="16"/>
      <c r="AD112" s="14"/>
      <c r="AE112" s="14"/>
      <c r="AF112" s="14"/>
      <c r="AG112" s="14"/>
      <c r="AH112" s="14"/>
      <c r="AI112" s="14"/>
      <c r="AJ112" s="14" t="s">
        <v>1989</v>
      </c>
      <c r="AK112" s="14"/>
      <c r="AL112" s="14" t="n">
        <v>2</v>
      </c>
      <c r="AM112" s="16" t="n">
        <v>4.2</v>
      </c>
      <c r="AN112" s="14"/>
      <c r="AO112" s="16"/>
      <c r="AP112" s="14"/>
    </row>
    <row r="113" customFormat="false" ht="23.85" hidden="false" customHeight="false" outlineLevel="0" collapsed="false">
      <c r="A113" s="14" t="s">
        <v>2002</v>
      </c>
      <c r="B113" s="5" t="s">
        <v>2003</v>
      </c>
      <c r="C113" s="14" t="s">
        <v>1062</v>
      </c>
      <c r="D113" s="14" t="s">
        <v>1209</v>
      </c>
      <c r="E113" s="14" t="s">
        <v>751</v>
      </c>
      <c r="F113" s="14" t="s">
        <v>659</v>
      </c>
      <c r="G113" s="14" t="s">
        <v>82</v>
      </c>
      <c r="H113" s="14" t="s">
        <v>1551</v>
      </c>
      <c r="I113" s="14" t="n">
        <v>14</v>
      </c>
      <c r="J113" s="14"/>
      <c r="K113" s="14"/>
      <c r="L113" s="14" t="s">
        <v>2004</v>
      </c>
      <c r="M113" s="14" t="s">
        <v>2005</v>
      </c>
      <c r="N113" s="14" t="n">
        <v>2</v>
      </c>
      <c r="O113" s="14" t="s">
        <v>659</v>
      </c>
      <c r="P113" s="14" t="s">
        <v>659</v>
      </c>
      <c r="Q113" s="14"/>
      <c r="R113" s="14" t="s">
        <v>659</v>
      </c>
      <c r="S113" s="14" t="s">
        <v>659</v>
      </c>
      <c r="T113" s="14"/>
      <c r="U113" s="14" t="s">
        <v>659</v>
      </c>
      <c r="V113" s="14"/>
      <c r="W113" s="14"/>
      <c r="X113" s="14"/>
      <c r="Y113" s="14"/>
      <c r="Z113" s="14"/>
      <c r="AA113" s="16"/>
      <c r="AB113" s="14"/>
      <c r="AC113" s="16"/>
      <c r="AD113" s="14"/>
      <c r="AE113" s="14"/>
      <c r="AF113" s="14"/>
      <c r="AG113" s="14"/>
      <c r="AH113" s="14"/>
      <c r="AI113" s="14"/>
      <c r="AJ113" s="14" t="s">
        <v>1996</v>
      </c>
      <c r="AK113" s="14" t="s">
        <v>2006</v>
      </c>
      <c r="AL113" s="14" t="n">
        <v>0</v>
      </c>
      <c r="AM113" s="16"/>
      <c r="AN113" s="14"/>
      <c r="AO113" s="16"/>
      <c r="AP113" s="14"/>
    </row>
    <row r="114" customFormat="false" ht="15" hidden="false" customHeight="false" outlineLevel="0" collapsed="false">
      <c r="A114" s="14" t="s">
        <v>2007</v>
      </c>
      <c r="B114" s="14" t="s">
        <v>2008</v>
      </c>
      <c r="C114" s="14" t="s">
        <v>1062</v>
      </c>
      <c r="D114" s="14" t="s">
        <v>1209</v>
      </c>
      <c r="E114" s="14" t="s">
        <v>751</v>
      </c>
      <c r="F114" s="14" t="s">
        <v>659</v>
      </c>
      <c r="G114" s="14" t="s">
        <v>82</v>
      </c>
      <c r="H114" s="14" t="s">
        <v>1551</v>
      </c>
      <c r="I114" s="14" t="n">
        <v>14</v>
      </c>
      <c r="J114" s="14"/>
      <c r="K114" s="14"/>
      <c r="L114" s="14" t="s">
        <v>2004</v>
      </c>
      <c r="M114" s="14" t="s">
        <v>2005</v>
      </c>
      <c r="N114" s="14" t="n">
        <v>2</v>
      </c>
      <c r="O114" s="14" t="s">
        <v>658</v>
      </c>
      <c r="P114" s="14" t="s">
        <v>659</v>
      </c>
      <c r="Q114" s="14"/>
      <c r="R114" s="14" t="s">
        <v>659</v>
      </c>
      <c r="S114" s="14" t="s">
        <v>659</v>
      </c>
      <c r="T114" s="14"/>
      <c r="U114" s="14" t="s">
        <v>658</v>
      </c>
      <c r="V114" s="14"/>
      <c r="W114" s="14"/>
      <c r="X114" s="14"/>
      <c r="Y114" s="14"/>
      <c r="Z114" s="14"/>
      <c r="AA114" s="16" t="n">
        <v>4.2</v>
      </c>
      <c r="AB114" s="14"/>
      <c r="AC114" s="16"/>
      <c r="AD114" s="14"/>
      <c r="AE114" s="14"/>
      <c r="AF114" s="14"/>
      <c r="AG114" s="14"/>
      <c r="AH114" s="14"/>
      <c r="AI114" s="14"/>
      <c r="AJ114" s="14" t="s">
        <v>1989</v>
      </c>
      <c r="AK114" s="14"/>
      <c r="AL114" s="14" t="n">
        <v>2</v>
      </c>
      <c r="AM114" s="16" t="n">
        <v>4.2</v>
      </c>
      <c r="AN114" s="14"/>
      <c r="AO114" s="16"/>
      <c r="AP114" s="14"/>
    </row>
    <row r="115" customFormat="false" ht="15" hidden="false" customHeight="false" outlineLevel="0" collapsed="false">
      <c r="A115" s="14" t="s">
        <v>2009</v>
      </c>
      <c r="B115" s="14" t="s">
        <v>2010</v>
      </c>
      <c r="C115" s="14" t="s">
        <v>1062</v>
      </c>
      <c r="D115" s="14" t="s">
        <v>1209</v>
      </c>
      <c r="E115" s="14" t="s">
        <v>751</v>
      </c>
      <c r="F115" s="14" t="s">
        <v>659</v>
      </c>
      <c r="G115" s="14" t="s">
        <v>82</v>
      </c>
      <c r="H115" s="14" t="s">
        <v>1551</v>
      </c>
      <c r="I115" s="14" t="n">
        <v>14</v>
      </c>
      <c r="J115" s="14"/>
      <c r="K115" s="14"/>
      <c r="L115" s="14" t="s">
        <v>2011</v>
      </c>
      <c r="M115" s="14" t="s">
        <v>2005</v>
      </c>
      <c r="N115" s="14" t="n">
        <v>2</v>
      </c>
      <c r="O115" s="14" t="s">
        <v>658</v>
      </c>
      <c r="P115" s="14" t="s">
        <v>659</v>
      </c>
      <c r="Q115" s="14"/>
      <c r="R115" s="14" t="s">
        <v>659</v>
      </c>
      <c r="S115" s="14" t="s">
        <v>659</v>
      </c>
      <c r="T115" s="14"/>
      <c r="U115" s="14" t="s">
        <v>658</v>
      </c>
      <c r="V115" s="14"/>
      <c r="W115" s="14"/>
      <c r="X115" s="14"/>
      <c r="Y115" s="14"/>
      <c r="Z115" s="14"/>
      <c r="AA115" s="16" t="n">
        <v>4.2</v>
      </c>
      <c r="AB115" s="14"/>
      <c r="AC115" s="16"/>
      <c r="AD115" s="14"/>
      <c r="AE115" s="14"/>
      <c r="AF115" s="14"/>
      <c r="AG115" s="14"/>
      <c r="AH115" s="14"/>
      <c r="AI115" s="14"/>
      <c r="AJ115" s="14" t="s">
        <v>1989</v>
      </c>
      <c r="AK115" s="14"/>
      <c r="AL115" s="14" t="n">
        <v>1</v>
      </c>
      <c r="AM115" s="16" t="n">
        <v>4.2</v>
      </c>
      <c r="AN115" s="14"/>
      <c r="AO115" s="16"/>
      <c r="AP115" s="14"/>
    </row>
    <row r="116" customFormat="false" ht="15" hidden="false" customHeight="false" outlineLevel="0" collapsed="false">
      <c r="A116" s="14" t="s">
        <v>2012</v>
      </c>
      <c r="B116" s="14" t="s">
        <v>2013</v>
      </c>
      <c r="C116" s="14" t="s">
        <v>1062</v>
      </c>
      <c r="D116" s="14" t="s">
        <v>1209</v>
      </c>
      <c r="E116" s="14" t="s">
        <v>751</v>
      </c>
      <c r="F116" s="14" t="s">
        <v>659</v>
      </c>
      <c r="G116" s="14" t="s">
        <v>82</v>
      </c>
      <c r="H116" s="14" t="s">
        <v>1551</v>
      </c>
      <c r="I116" s="14" t="n">
        <v>14</v>
      </c>
      <c r="J116" s="14"/>
      <c r="K116" s="14"/>
      <c r="L116" s="14" t="s">
        <v>2014</v>
      </c>
      <c r="M116" s="14" t="s">
        <v>2005</v>
      </c>
      <c r="N116" s="14" t="n">
        <v>3</v>
      </c>
      <c r="O116" s="14" t="s">
        <v>658</v>
      </c>
      <c r="P116" s="14" t="s">
        <v>658</v>
      </c>
      <c r="Q116" s="14"/>
      <c r="R116" s="14" t="s">
        <v>659</v>
      </c>
      <c r="S116" s="14" t="s">
        <v>659</v>
      </c>
      <c r="T116" s="14"/>
      <c r="U116" s="14" t="s">
        <v>658</v>
      </c>
      <c r="V116" s="14"/>
      <c r="W116" s="14"/>
      <c r="X116" s="14"/>
      <c r="Y116" s="14"/>
      <c r="Z116" s="14"/>
      <c r="AA116" s="16" t="n">
        <v>4.2</v>
      </c>
      <c r="AB116" s="14"/>
      <c r="AC116" s="16"/>
      <c r="AD116" s="14"/>
      <c r="AE116" s="14"/>
      <c r="AF116" s="14"/>
      <c r="AG116" s="14"/>
      <c r="AH116" s="14"/>
      <c r="AI116" s="14"/>
      <c r="AJ116" s="14"/>
      <c r="AK116" s="14"/>
      <c r="AL116" s="14" t="n">
        <v>1</v>
      </c>
      <c r="AM116" s="16" t="n">
        <v>4.2</v>
      </c>
      <c r="AN116" s="14"/>
      <c r="AO116" s="16"/>
      <c r="AP116" s="14"/>
    </row>
    <row r="117" customFormat="false" ht="15" hidden="false" customHeight="false" outlineLevel="0" collapsed="false">
      <c r="A117" s="14" t="s">
        <v>2015</v>
      </c>
      <c r="B117" s="14" t="s">
        <v>2016</v>
      </c>
      <c r="C117" s="14" t="s">
        <v>1062</v>
      </c>
      <c r="D117" s="14" t="s">
        <v>1209</v>
      </c>
      <c r="E117" s="14" t="s">
        <v>751</v>
      </c>
      <c r="F117" s="14" t="s">
        <v>659</v>
      </c>
      <c r="G117" s="14" t="s">
        <v>82</v>
      </c>
      <c r="H117" s="14" t="s">
        <v>1551</v>
      </c>
      <c r="I117" s="14" t="n">
        <v>14</v>
      </c>
      <c r="J117" s="14"/>
      <c r="K117" s="14"/>
      <c r="L117" s="14" t="s">
        <v>2014</v>
      </c>
      <c r="M117" s="14" t="s">
        <v>2005</v>
      </c>
      <c r="N117" s="14" t="n">
        <v>4</v>
      </c>
      <c r="O117" s="14" t="s">
        <v>658</v>
      </c>
      <c r="P117" s="14" t="s">
        <v>658</v>
      </c>
      <c r="Q117" s="14"/>
      <c r="R117" s="14" t="s">
        <v>659</v>
      </c>
      <c r="S117" s="14" t="s">
        <v>659</v>
      </c>
      <c r="T117" s="14"/>
      <c r="U117" s="14" t="s">
        <v>659</v>
      </c>
      <c r="V117" s="14"/>
      <c r="W117" s="14"/>
      <c r="X117" s="14"/>
      <c r="Y117" s="14"/>
      <c r="Z117" s="14"/>
      <c r="AA117" s="16" t="n">
        <v>4.2</v>
      </c>
      <c r="AB117" s="14"/>
      <c r="AC117" s="16"/>
      <c r="AD117" s="14"/>
      <c r="AE117" s="14"/>
      <c r="AF117" s="14"/>
      <c r="AG117" s="14"/>
      <c r="AH117" s="14"/>
      <c r="AI117" s="14"/>
      <c r="AJ117" s="14"/>
      <c r="AK117" s="14"/>
      <c r="AL117" s="14" t="n">
        <v>0</v>
      </c>
      <c r="AM117" s="16"/>
      <c r="AN117" s="14"/>
      <c r="AO117" s="16"/>
      <c r="AP117" s="14"/>
    </row>
    <row r="118" customFormat="false" ht="15" hidden="false" customHeight="false" outlineLevel="0" collapsed="false">
      <c r="A118" s="14" t="s">
        <v>2017</v>
      </c>
      <c r="B118" s="14" t="s">
        <v>2018</v>
      </c>
      <c r="C118" s="14" t="s">
        <v>1062</v>
      </c>
      <c r="D118" s="14" t="s">
        <v>1209</v>
      </c>
      <c r="E118" s="14" t="s">
        <v>751</v>
      </c>
      <c r="F118" s="14" t="s">
        <v>659</v>
      </c>
      <c r="G118" s="14" t="s">
        <v>82</v>
      </c>
      <c r="H118" s="14" t="s">
        <v>1551</v>
      </c>
      <c r="I118" s="14" t="n">
        <v>14</v>
      </c>
      <c r="J118" s="14"/>
      <c r="K118" s="14"/>
      <c r="L118" s="14" t="s">
        <v>2014</v>
      </c>
      <c r="M118" s="14" t="s">
        <v>2005</v>
      </c>
      <c r="N118" s="14" t="n">
        <v>6</v>
      </c>
      <c r="O118" s="14" t="s">
        <v>658</v>
      </c>
      <c r="P118" s="14" t="s">
        <v>658</v>
      </c>
      <c r="Q118" s="14"/>
      <c r="R118" s="14" t="s">
        <v>659</v>
      </c>
      <c r="S118" s="14" t="s">
        <v>659</v>
      </c>
      <c r="T118" s="14"/>
      <c r="U118" s="14" t="s">
        <v>658</v>
      </c>
      <c r="V118" s="14"/>
      <c r="W118" s="14"/>
      <c r="X118" s="14"/>
      <c r="Y118" s="14"/>
      <c r="Z118" s="14"/>
      <c r="AA118" s="16" t="n">
        <v>4.2</v>
      </c>
      <c r="AB118" s="14"/>
      <c r="AC118" s="16"/>
      <c r="AD118" s="14"/>
      <c r="AE118" s="14"/>
      <c r="AF118" s="14"/>
      <c r="AG118" s="14"/>
      <c r="AH118" s="14"/>
      <c r="AI118" s="14"/>
      <c r="AJ118" s="14"/>
      <c r="AK118" s="14"/>
      <c r="AL118" s="14" t="n">
        <v>1</v>
      </c>
      <c r="AM118" s="16" t="n">
        <v>4.2</v>
      </c>
      <c r="AN118" s="14"/>
      <c r="AO118" s="16"/>
      <c r="AP118" s="14"/>
    </row>
    <row r="119" customFormat="false" ht="15" hidden="false" customHeight="false" outlineLevel="0" collapsed="false">
      <c r="A119" s="14" t="s">
        <v>2019</v>
      </c>
      <c r="B119" s="14" t="s">
        <v>2020</v>
      </c>
      <c r="C119" s="14" t="s">
        <v>1062</v>
      </c>
      <c r="D119" s="14" t="s">
        <v>1209</v>
      </c>
      <c r="E119" s="14" t="s">
        <v>751</v>
      </c>
      <c r="F119" s="14" t="s">
        <v>659</v>
      </c>
      <c r="G119" s="14" t="s">
        <v>82</v>
      </c>
      <c r="H119" s="14" t="s">
        <v>1551</v>
      </c>
      <c r="I119" s="14" t="n">
        <v>14</v>
      </c>
      <c r="J119" s="14"/>
      <c r="K119" s="14"/>
      <c r="L119" s="14" t="s">
        <v>2021</v>
      </c>
      <c r="M119" s="14" t="s">
        <v>2022</v>
      </c>
      <c r="N119" s="14" t="n">
        <v>1</v>
      </c>
      <c r="O119" s="14" t="s">
        <v>658</v>
      </c>
      <c r="P119" s="14" t="s">
        <v>659</v>
      </c>
      <c r="Q119" s="14"/>
      <c r="R119" s="14" t="s">
        <v>659</v>
      </c>
      <c r="S119" s="14" t="s">
        <v>659</v>
      </c>
      <c r="T119" s="14"/>
      <c r="U119" s="14" t="s">
        <v>658</v>
      </c>
      <c r="V119" s="14"/>
      <c r="W119" s="14"/>
      <c r="X119" s="14"/>
      <c r="Y119" s="14"/>
      <c r="Z119" s="14"/>
      <c r="AA119" s="16" t="n">
        <v>4.2</v>
      </c>
      <c r="AB119" s="14"/>
      <c r="AC119" s="16"/>
      <c r="AD119" s="14"/>
      <c r="AE119" s="14"/>
      <c r="AF119" s="14"/>
      <c r="AG119" s="14"/>
      <c r="AH119" s="14"/>
      <c r="AI119" s="14"/>
      <c r="AJ119" s="14" t="s">
        <v>1989</v>
      </c>
      <c r="AK119" s="14"/>
      <c r="AL119" s="14" t="n">
        <v>1</v>
      </c>
      <c r="AM119" s="16" t="n">
        <v>4.2</v>
      </c>
      <c r="AN119" s="14"/>
      <c r="AO119" s="16"/>
      <c r="AP119" s="14"/>
    </row>
    <row r="120" customFormat="false" ht="15" hidden="false" customHeight="false" outlineLevel="0" collapsed="false">
      <c r="A120" s="14" t="s">
        <v>2023</v>
      </c>
      <c r="B120" s="14" t="s">
        <v>2024</v>
      </c>
      <c r="C120" s="14" t="s">
        <v>1062</v>
      </c>
      <c r="D120" s="14" t="s">
        <v>1209</v>
      </c>
      <c r="E120" s="14" t="s">
        <v>751</v>
      </c>
      <c r="F120" s="14" t="s">
        <v>659</v>
      </c>
      <c r="G120" s="14" t="s">
        <v>82</v>
      </c>
      <c r="H120" s="14" t="s">
        <v>1551</v>
      </c>
      <c r="I120" s="14" t="n">
        <v>14</v>
      </c>
      <c r="J120" s="14"/>
      <c r="K120" s="14"/>
      <c r="L120" s="14" t="s">
        <v>2021</v>
      </c>
      <c r="M120" s="14" t="s">
        <v>2022</v>
      </c>
      <c r="N120" s="14" t="n">
        <v>1</v>
      </c>
      <c r="O120" s="14" t="s">
        <v>658</v>
      </c>
      <c r="P120" s="14" t="s">
        <v>658</v>
      </c>
      <c r="Q120" s="14"/>
      <c r="R120" s="14" t="s">
        <v>659</v>
      </c>
      <c r="S120" s="14" t="s">
        <v>659</v>
      </c>
      <c r="T120" s="14"/>
      <c r="U120" s="14" t="s">
        <v>658</v>
      </c>
      <c r="V120" s="14"/>
      <c r="W120" s="14"/>
      <c r="X120" s="14"/>
      <c r="Y120" s="14"/>
      <c r="Z120" s="14"/>
      <c r="AA120" s="16" t="n">
        <v>4.2</v>
      </c>
      <c r="AB120" s="14"/>
      <c r="AC120" s="16"/>
      <c r="AD120" s="14"/>
      <c r="AE120" s="14"/>
      <c r="AF120" s="14"/>
      <c r="AG120" s="14"/>
      <c r="AH120" s="14"/>
      <c r="AI120" s="14"/>
      <c r="AJ120" s="14" t="s">
        <v>1989</v>
      </c>
      <c r="AK120" s="14"/>
      <c r="AL120" s="14" t="n">
        <v>1</v>
      </c>
      <c r="AM120" s="16" t="n">
        <v>4.2</v>
      </c>
      <c r="AN120" s="14"/>
      <c r="AO120" s="16"/>
      <c r="AP120" s="14"/>
    </row>
    <row r="121" customFormat="false" ht="15" hidden="false" customHeight="false" outlineLevel="0" collapsed="false">
      <c r="A121" s="14" t="s">
        <v>2025</v>
      </c>
      <c r="B121" s="14" t="s">
        <v>2026</v>
      </c>
      <c r="C121" s="14" t="s">
        <v>1062</v>
      </c>
      <c r="D121" s="14" t="s">
        <v>1209</v>
      </c>
      <c r="E121" s="14" t="s">
        <v>751</v>
      </c>
      <c r="F121" s="14" t="s">
        <v>659</v>
      </c>
      <c r="G121" s="14" t="s">
        <v>82</v>
      </c>
      <c r="H121" s="14" t="s">
        <v>1551</v>
      </c>
      <c r="I121" s="14" t="n">
        <v>14</v>
      </c>
      <c r="J121" s="14"/>
      <c r="K121" s="14"/>
      <c r="L121" s="14" t="s">
        <v>2027</v>
      </c>
      <c r="M121" s="14" t="s">
        <v>2028</v>
      </c>
      <c r="N121" s="14" t="n">
        <v>1</v>
      </c>
      <c r="O121" s="14" t="s">
        <v>658</v>
      </c>
      <c r="P121" s="14" t="s">
        <v>659</v>
      </c>
      <c r="Q121" s="14"/>
      <c r="R121" s="14" t="s">
        <v>659</v>
      </c>
      <c r="S121" s="14" t="s">
        <v>659</v>
      </c>
      <c r="T121" s="14"/>
      <c r="U121" s="14" t="s">
        <v>658</v>
      </c>
      <c r="V121" s="14"/>
      <c r="W121" s="14"/>
      <c r="X121" s="14"/>
      <c r="Y121" s="14"/>
      <c r="Z121" s="14"/>
      <c r="AA121" s="16" t="n">
        <v>4.2</v>
      </c>
      <c r="AB121" s="14"/>
      <c r="AC121" s="16"/>
      <c r="AD121" s="14"/>
      <c r="AE121" s="14"/>
      <c r="AF121" s="14"/>
      <c r="AG121" s="14"/>
      <c r="AH121" s="14"/>
      <c r="AI121" s="14"/>
      <c r="AJ121" s="14" t="s">
        <v>1989</v>
      </c>
      <c r="AK121" s="14"/>
      <c r="AL121" s="14" t="n">
        <v>2</v>
      </c>
      <c r="AM121" s="16" t="n">
        <v>4.2</v>
      </c>
      <c r="AN121" s="14"/>
      <c r="AO121" s="16"/>
      <c r="AP121" s="14"/>
    </row>
    <row r="122" customFormat="false" ht="23.85" hidden="false" customHeight="false" outlineLevel="0" collapsed="false">
      <c r="A122" s="14" t="s">
        <v>2029</v>
      </c>
      <c r="B122" s="5" t="s">
        <v>2030</v>
      </c>
      <c r="C122" s="14" t="s">
        <v>1062</v>
      </c>
      <c r="D122" s="14" t="s">
        <v>1209</v>
      </c>
      <c r="E122" s="14" t="s">
        <v>751</v>
      </c>
      <c r="F122" s="14" t="s">
        <v>659</v>
      </c>
      <c r="G122" s="14" t="s">
        <v>82</v>
      </c>
      <c r="H122" s="14" t="s">
        <v>1551</v>
      </c>
      <c r="I122" s="14" t="n">
        <v>14</v>
      </c>
      <c r="J122" s="14"/>
      <c r="K122" s="14"/>
      <c r="L122" s="14" t="s">
        <v>2031</v>
      </c>
      <c r="M122" s="14" t="s">
        <v>2032</v>
      </c>
      <c r="N122" s="14" t="n">
        <v>1</v>
      </c>
      <c r="O122" s="14" t="s">
        <v>659</v>
      </c>
      <c r="P122" s="14" t="s">
        <v>659</v>
      </c>
      <c r="Q122" s="14"/>
      <c r="R122" s="14" t="s">
        <v>659</v>
      </c>
      <c r="S122" s="14" t="s">
        <v>659</v>
      </c>
      <c r="T122" s="14"/>
      <c r="U122" s="14" t="s">
        <v>659</v>
      </c>
      <c r="V122" s="14"/>
      <c r="W122" s="14"/>
      <c r="X122" s="14"/>
      <c r="Y122" s="14"/>
      <c r="Z122" s="14"/>
      <c r="AA122" s="16"/>
      <c r="AB122" s="14"/>
      <c r="AC122" s="16"/>
      <c r="AD122" s="14"/>
      <c r="AE122" s="14"/>
      <c r="AF122" s="14"/>
      <c r="AG122" s="14"/>
      <c r="AH122" s="14"/>
      <c r="AI122" s="14"/>
      <c r="AJ122" s="14" t="s">
        <v>1996</v>
      </c>
      <c r="AK122" s="14" t="s">
        <v>2033</v>
      </c>
      <c r="AL122" s="14" t="n">
        <v>0</v>
      </c>
      <c r="AM122" s="16"/>
      <c r="AN122" s="14"/>
      <c r="AO122" s="16"/>
      <c r="AP122" s="14"/>
    </row>
    <row r="123" customFormat="false" ht="15" hidden="false" customHeight="false" outlineLevel="0" collapsed="false">
      <c r="A123" s="14" t="s">
        <v>2034</v>
      </c>
      <c r="B123" s="14" t="s">
        <v>2035</v>
      </c>
      <c r="C123" s="14" t="s">
        <v>1062</v>
      </c>
      <c r="D123" s="14" t="s">
        <v>1209</v>
      </c>
      <c r="E123" s="14" t="s">
        <v>751</v>
      </c>
      <c r="F123" s="14" t="s">
        <v>659</v>
      </c>
      <c r="G123" s="14" t="s">
        <v>82</v>
      </c>
      <c r="H123" s="14" t="s">
        <v>1551</v>
      </c>
      <c r="I123" s="14" t="n">
        <v>14</v>
      </c>
      <c r="J123" s="14"/>
      <c r="K123" s="14"/>
      <c r="L123" s="14" t="s">
        <v>2031</v>
      </c>
      <c r="M123" s="14" t="s">
        <v>2032</v>
      </c>
      <c r="N123" s="14" t="n">
        <v>1</v>
      </c>
      <c r="O123" s="14" t="s">
        <v>658</v>
      </c>
      <c r="P123" s="14" t="s">
        <v>658</v>
      </c>
      <c r="Q123" s="14"/>
      <c r="R123" s="14" t="s">
        <v>659</v>
      </c>
      <c r="S123" s="14" t="s">
        <v>659</v>
      </c>
      <c r="T123" s="14"/>
      <c r="U123" s="14" t="s">
        <v>658</v>
      </c>
      <c r="V123" s="14"/>
      <c r="W123" s="14"/>
      <c r="X123" s="14"/>
      <c r="Y123" s="14"/>
      <c r="Z123" s="14"/>
      <c r="AA123" s="16" t="n">
        <v>4.2</v>
      </c>
      <c r="AB123" s="14"/>
      <c r="AC123" s="16"/>
      <c r="AD123" s="14"/>
      <c r="AE123" s="14"/>
      <c r="AF123" s="14"/>
      <c r="AG123" s="14"/>
      <c r="AH123" s="14"/>
      <c r="AI123" s="14"/>
      <c r="AJ123" s="14" t="s">
        <v>1989</v>
      </c>
      <c r="AK123" s="14"/>
      <c r="AL123" s="14" t="n">
        <v>2</v>
      </c>
      <c r="AM123" s="16" t="n">
        <v>4.2</v>
      </c>
      <c r="AN123" s="14"/>
      <c r="AO123" s="16"/>
      <c r="AP123" s="14"/>
    </row>
    <row r="124" customFormat="false" ht="15" hidden="false" customHeight="false" outlineLevel="0" collapsed="false">
      <c r="A124" s="14" t="s">
        <v>2036</v>
      </c>
      <c r="B124" s="14" t="s">
        <v>2037</v>
      </c>
      <c r="C124" s="14" t="s">
        <v>1062</v>
      </c>
      <c r="D124" s="14" t="s">
        <v>1209</v>
      </c>
      <c r="E124" s="14" t="s">
        <v>751</v>
      </c>
      <c r="F124" s="14" t="s">
        <v>659</v>
      </c>
      <c r="G124" s="14" t="s">
        <v>82</v>
      </c>
      <c r="H124" s="14" t="s">
        <v>1551</v>
      </c>
      <c r="I124" s="14" t="n">
        <v>14</v>
      </c>
      <c r="J124" s="14"/>
      <c r="K124" s="14"/>
      <c r="L124" s="14" t="s">
        <v>2031</v>
      </c>
      <c r="M124" s="14" t="s">
        <v>2032</v>
      </c>
      <c r="N124" s="14" t="n">
        <v>1</v>
      </c>
      <c r="O124" s="14" t="s">
        <v>658</v>
      </c>
      <c r="P124" s="14" t="s">
        <v>658</v>
      </c>
      <c r="Q124" s="14"/>
      <c r="R124" s="14" t="s">
        <v>659</v>
      </c>
      <c r="S124" s="14" t="s">
        <v>659</v>
      </c>
      <c r="T124" s="14"/>
      <c r="U124" s="14" t="s">
        <v>659</v>
      </c>
      <c r="V124" s="14"/>
      <c r="W124" s="14"/>
      <c r="X124" s="14"/>
      <c r="Y124" s="14"/>
      <c r="Z124" s="14"/>
      <c r="AA124" s="16" t="n">
        <v>4.2</v>
      </c>
      <c r="AB124" s="14"/>
      <c r="AC124" s="16"/>
      <c r="AD124" s="14"/>
      <c r="AE124" s="14"/>
      <c r="AF124" s="14"/>
      <c r="AG124" s="14"/>
      <c r="AH124" s="14"/>
      <c r="AI124" s="14"/>
      <c r="AJ124" s="14" t="s">
        <v>2038</v>
      </c>
      <c r="AK124" s="14"/>
      <c r="AL124" s="14" t="n">
        <v>0</v>
      </c>
      <c r="AM124" s="16"/>
      <c r="AN124" s="14"/>
      <c r="AO124" s="16"/>
      <c r="AP124" s="14"/>
    </row>
    <row r="125" customFormat="false" ht="15" hidden="false" customHeight="false" outlineLevel="0" collapsed="false">
      <c r="A125" s="14" t="s">
        <v>2039</v>
      </c>
      <c r="B125" s="14" t="s">
        <v>2040</v>
      </c>
      <c r="C125" s="14" t="s">
        <v>1065</v>
      </c>
      <c r="D125" s="14" t="s">
        <v>1211</v>
      </c>
      <c r="E125" s="14" t="s">
        <v>750</v>
      </c>
      <c r="F125" s="14" t="s">
        <v>659</v>
      </c>
      <c r="G125" s="14" t="s">
        <v>82</v>
      </c>
      <c r="H125" s="14" t="s">
        <v>1551</v>
      </c>
      <c r="I125" s="14" t="n">
        <v>14</v>
      </c>
      <c r="J125" s="14" t="s">
        <v>2041</v>
      </c>
      <c r="K125" s="14" t="s">
        <v>2042</v>
      </c>
      <c r="L125" s="14"/>
      <c r="M125" s="14"/>
      <c r="N125" s="14"/>
      <c r="O125" s="14" t="s">
        <v>659</v>
      </c>
      <c r="P125" s="14" t="s">
        <v>659</v>
      </c>
      <c r="Q125" s="14"/>
      <c r="R125" s="14" t="s">
        <v>659</v>
      </c>
      <c r="S125" s="14"/>
      <c r="T125" s="14"/>
      <c r="U125" s="14"/>
      <c r="V125" s="14"/>
      <c r="W125" s="14"/>
      <c r="X125" s="14"/>
      <c r="Y125" s="14" t="s">
        <v>659</v>
      </c>
      <c r="Z125" s="14" t="s">
        <v>659</v>
      </c>
      <c r="AA125" s="16"/>
      <c r="AB125" s="14"/>
      <c r="AC125" s="16"/>
      <c r="AD125" s="14" t="s">
        <v>685</v>
      </c>
      <c r="AE125" s="14" t="s">
        <v>687</v>
      </c>
      <c r="AF125" s="14" t="s">
        <v>691</v>
      </c>
      <c r="AG125" s="14" t="s">
        <v>693</v>
      </c>
      <c r="AH125" s="14" t="s">
        <v>776</v>
      </c>
      <c r="AI125" s="14"/>
      <c r="AJ125" s="14"/>
      <c r="AK125" s="14"/>
      <c r="AL125" s="14"/>
      <c r="AM125" s="16"/>
      <c r="AN125" s="14"/>
      <c r="AO125" s="16"/>
      <c r="AP125" s="14"/>
    </row>
    <row r="126" customFormat="false" ht="15" hidden="false" customHeight="false" outlineLevel="0" collapsed="false">
      <c r="A126" s="14" t="s">
        <v>2043</v>
      </c>
      <c r="B126" s="14" t="s">
        <v>1695</v>
      </c>
      <c r="C126" s="14" t="s">
        <v>1065</v>
      </c>
      <c r="D126" s="14" t="s">
        <v>1211</v>
      </c>
      <c r="E126" s="14" t="s">
        <v>694</v>
      </c>
      <c r="F126" s="14" t="s">
        <v>659</v>
      </c>
      <c r="G126" s="14" t="s">
        <v>82</v>
      </c>
      <c r="H126" s="14" t="s">
        <v>1551</v>
      </c>
      <c r="I126" s="14" t="n">
        <v>14</v>
      </c>
      <c r="J126" s="14" t="s">
        <v>2041</v>
      </c>
      <c r="K126" s="14" t="s">
        <v>2042</v>
      </c>
      <c r="L126" s="14"/>
      <c r="M126" s="14"/>
      <c r="N126" s="14"/>
      <c r="O126" s="14" t="s">
        <v>658</v>
      </c>
      <c r="P126" s="14" t="s">
        <v>659</v>
      </c>
      <c r="Q126" s="14"/>
      <c r="R126" s="14" t="s">
        <v>659</v>
      </c>
      <c r="S126" s="14"/>
      <c r="T126" s="14"/>
      <c r="U126" s="14"/>
      <c r="V126" s="14"/>
      <c r="W126" s="14"/>
      <c r="X126" s="14"/>
      <c r="Y126" s="14" t="s">
        <v>658</v>
      </c>
      <c r="Z126" s="14" t="s">
        <v>659</v>
      </c>
      <c r="AA126" s="16" t="n">
        <v>4.9</v>
      </c>
      <c r="AB126" s="14"/>
      <c r="AC126" s="16"/>
      <c r="AD126" s="14" t="s">
        <v>685</v>
      </c>
      <c r="AE126" s="14" t="s">
        <v>687</v>
      </c>
      <c r="AF126" s="14" t="s">
        <v>691</v>
      </c>
      <c r="AG126" s="14" t="s">
        <v>694</v>
      </c>
      <c r="AH126" s="14" t="s">
        <v>694</v>
      </c>
      <c r="AI126" s="14"/>
      <c r="AJ126" s="14"/>
      <c r="AK126" s="14"/>
      <c r="AL126" s="14"/>
      <c r="AM126" s="16"/>
      <c r="AN126" s="14"/>
      <c r="AO126" s="16"/>
      <c r="AP126" s="14" t="s">
        <v>2044</v>
      </c>
    </row>
    <row r="127" customFormat="false" ht="23.85" hidden="false" customHeight="false" outlineLevel="0" collapsed="false">
      <c r="A127" s="14" t="s">
        <v>2045</v>
      </c>
      <c r="B127" s="14" t="s">
        <v>2046</v>
      </c>
      <c r="C127" s="14" t="s">
        <v>1065</v>
      </c>
      <c r="D127" s="14" t="s">
        <v>1211</v>
      </c>
      <c r="E127" s="14" t="s">
        <v>750</v>
      </c>
      <c r="F127" s="14" t="s">
        <v>659</v>
      </c>
      <c r="G127" s="14" t="s">
        <v>82</v>
      </c>
      <c r="H127" s="14" t="s">
        <v>1551</v>
      </c>
      <c r="I127" s="14" t="n">
        <v>14</v>
      </c>
      <c r="J127" s="14" t="s">
        <v>2047</v>
      </c>
      <c r="K127" s="14" t="s">
        <v>2042</v>
      </c>
      <c r="L127" s="14" t="s">
        <v>2048</v>
      </c>
      <c r="M127" s="14"/>
      <c r="N127" s="14"/>
      <c r="O127" s="14" t="s">
        <v>658</v>
      </c>
      <c r="P127" s="14" t="s">
        <v>659</v>
      </c>
      <c r="Q127" s="14"/>
      <c r="R127" s="14" t="s">
        <v>659</v>
      </c>
      <c r="S127" s="14" t="s">
        <v>659</v>
      </c>
      <c r="T127" s="14" t="s">
        <v>659</v>
      </c>
      <c r="U127" s="14" t="s">
        <v>658</v>
      </c>
      <c r="V127" s="14" t="s">
        <v>659</v>
      </c>
      <c r="W127" s="14" t="s">
        <v>659</v>
      </c>
      <c r="X127" s="14" t="s">
        <v>659</v>
      </c>
      <c r="Y127" s="14" t="s">
        <v>659</v>
      </c>
      <c r="Z127" s="14" t="s">
        <v>659</v>
      </c>
      <c r="AA127" s="16" t="n">
        <v>5.5</v>
      </c>
      <c r="AB127" s="14"/>
      <c r="AC127" s="16"/>
      <c r="AD127" s="14" t="s">
        <v>685</v>
      </c>
      <c r="AE127" s="14" t="s">
        <v>687</v>
      </c>
      <c r="AF127" s="14" t="s">
        <v>691</v>
      </c>
      <c r="AG127" s="14" t="s">
        <v>693</v>
      </c>
      <c r="AH127" s="14" t="s">
        <v>776</v>
      </c>
      <c r="AI127" s="14"/>
      <c r="AJ127" s="14"/>
      <c r="AK127" s="14"/>
      <c r="AL127" s="14"/>
      <c r="AM127" s="16"/>
      <c r="AN127" s="14"/>
      <c r="AO127" s="16"/>
      <c r="AP127" s="5" t="s">
        <v>2049</v>
      </c>
    </row>
    <row r="128" customFormat="false" ht="23.85" hidden="false" customHeight="false" outlineLevel="0" collapsed="false">
      <c r="A128" s="14" t="s">
        <v>2050</v>
      </c>
      <c r="B128" s="14" t="s">
        <v>2051</v>
      </c>
      <c r="C128" s="14" t="s">
        <v>1065</v>
      </c>
      <c r="D128" s="14" t="s">
        <v>1211</v>
      </c>
      <c r="E128" s="14" t="s">
        <v>750</v>
      </c>
      <c r="F128" s="14" t="s">
        <v>659</v>
      </c>
      <c r="G128" s="14" t="s">
        <v>82</v>
      </c>
      <c r="H128" s="14" t="s">
        <v>1551</v>
      </c>
      <c r="I128" s="14" t="n">
        <v>14</v>
      </c>
      <c r="J128" s="14" t="s">
        <v>2041</v>
      </c>
      <c r="K128" s="14" t="s">
        <v>2042</v>
      </c>
      <c r="L128" s="14" t="s">
        <v>2052</v>
      </c>
      <c r="M128" s="14"/>
      <c r="N128" s="14"/>
      <c r="O128" s="14" t="s">
        <v>658</v>
      </c>
      <c r="P128" s="14" t="s">
        <v>658</v>
      </c>
      <c r="Q128" s="14"/>
      <c r="R128" s="14" t="s">
        <v>658</v>
      </c>
      <c r="S128" s="14" t="s">
        <v>659</v>
      </c>
      <c r="T128" s="14" t="s">
        <v>659</v>
      </c>
      <c r="U128" s="14"/>
      <c r="V128" s="14"/>
      <c r="W128" s="14"/>
      <c r="X128" s="14"/>
      <c r="Y128" s="14" t="s">
        <v>658</v>
      </c>
      <c r="Z128" s="14" t="s">
        <v>658</v>
      </c>
      <c r="AA128" s="16" t="n">
        <v>4.5</v>
      </c>
      <c r="AB128" s="14"/>
      <c r="AC128" s="16"/>
      <c r="AD128" s="14" t="s">
        <v>685</v>
      </c>
      <c r="AE128" s="14" t="s">
        <v>687</v>
      </c>
      <c r="AF128" s="14" t="s">
        <v>691</v>
      </c>
      <c r="AG128" s="14" t="s">
        <v>693</v>
      </c>
      <c r="AH128" s="14" t="s">
        <v>776</v>
      </c>
      <c r="AI128" s="14"/>
      <c r="AJ128" s="14"/>
      <c r="AK128" s="14"/>
      <c r="AL128" s="14"/>
      <c r="AM128" s="16"/>
      <c r="AN128" s="14"/>
      <c r="AO128" s="16"/>
      <c r="AP128" s="5" t="s">
        <v>2053</v>
      </c>
    </row>
    <row r="129" customFormat="false" ht="15" hidden="false" customHeight="false" outlineLevel="0" collapsed="false">
      <c r="A129" s="14" t="s">
        <v>2054</v>
      </c>
      <c r="B129" s="14" t="s">
        <v>2055</v>
      </c>
      <c r="C129" s="14" t="s">
        <v>1065</v>
      </c>
      <c r="D129" s="14" t="s">
        <v>1211</v>
      </c>
      <c r="E129" s="14" t="s">
        <v>750</v>
      </c>
      <c r="F129" s="14" t="s">
        <v>659</v>
      </c>
      <c r="G129" s="14" t="s">
        <v>82</v>
      </c>
      <c r="H129" s="14" t="s">
        <v>1551</v>
      </c>
      <c r="I129" s="14" t="n">
        <v>14</v>
      </c>
      <c r="J129" s="14" t="s">
        <v>2041</v>
      </c>
      <c r="K129" s="14" t="s">
        <v>2042</v>
      </c>
      <c r="L129" s="14"/>
      <c r="M129" s="14"/>
      <c r="N129" s="14"/>
      <c r="O129" s="14" t="s">
        <v>659</v>
      </c>
      <c r="P129" s="14" t="s">
        <v>659</v>
      </c>
      <c r="Q129" s="14"/>
      <c r="R129" s="14" t="s">
        <v>659</v>
      </c>
      <c r="S129" s="14"/>
      <c r="T129" s="14"/>
      <c r="U129" s="14"/>
      <c r="V129" s="14"/>
      <c r="W129" s="14"/>
      <c r="X129" s="14"/>
      <c r="Y129" s="14" t="s">
        <v>659</v>
      </c>
      <c r="Z129" s="14" t="s">
        <v>659</v>
      </c>
      <c r="AA129" s="16"/>
      <c r="AB129" s="14"/>
      <c r="AC129" s="16"/>
      <c r="AD129" s="14" t="s">
        <v>685</v>
      </c>
      <c r="AE129" s="14" t="s">
        <v>687</v>
      </c>
      <c r="AF129" s="14" t="s">
        <v>691</v>
      </c>
      <c r="AG129" s="14" t="s">
        <v>693</v>
      </c>
      <c r="AH129" s="14" t="s">
        <v>776</v>
      </c>
      <c r="AI129" s="14"/>
      <c r="AJ129" s="14"/>
      <c r="AK129" s="14"/>
      <c r="AL129" s="14"/>
      <c r="AM129" s="16"/>
      <c r="AN129" s="14"/>
      <c r="AO129" s="16"/>
      <c r="AP129" s="5" t="s">
        <v>2056</v>
      </c>
    </row>
    <row r="130" customFormat="false" ht="35.05" hidden="false" customHeight="false" outlineLevel="0" collapsed="false">
      <c r="A130" s="14" t="s">
        <v>2057</v>
      </c>
      <c r="B130" s="14" t="s">
        <v>2058</v>
      </c>
      <c r="C130" s="14" t="s">
        <v>1065</v>
      </c>
      <c r="D130" s="14" t="s">
        <v>1211</v>
      </c>
      <c r="E130" s="14" t="s">
        <v>750</v>
      </c>
      <c r="F130" s="14" t="s">
        <v>659</v>
      </c>
      <c r="G130" s="14" t="s">
        <v>82</v>
      </c>
      <c r="H130" s="14" t="s">
        <v>1551</v>
      </c>
      <c r="I130" s="14" t="n">
        <v>14</v>
      </c>
      <c r="J130" s="14" t="s">
        <v>2059</v>
      </c>
      <c r="K130" s="14" t="s">
        <v>2042</v>
      </c>
      <c r="L130" s="14"/>
      <c r="M130" s="14"/>
      <c r="N130" s="14"/>
      <c r="O130" s="14" t="s">
        <v>658</v>
      </c>
      <c r="P130" s="14" t="s">
        <v>658</v>
      </c>
      <c r="Q130" s="14"/>
      <c r="R130" s="14" t="s">
        <v>658</v>
      </c>
      <c r="S130" s="14"/>
      <c r="T130" s="14"/>
      <c r="U130" s="14"/>
      <c r="V130" s="14"/>
      <c r="W130" s="14"/>
      <c r="X130" s="14"/>
      <c r="Y130" s="14" t="s">
        <v>658</v>
      </c>
      <c r="Z130" s="14" t="s">
        <v>659</v>
      </c>
      <c r="AA130" s="16" t="n">
        <v>4.3</v>
      </c>
      <c r="AB130" s="14"/>
      <c r="AC130" s="16"/>
      <c r="AD130" s="14" t="s">
        <v>685</v>
      </c>
      <c r="AE130" s="14" t="s">
        <v>687</v>
      </c>
      <c r="AF130" s="14" t="s">
        <v>691</v>
      </c>
      <c r="AG130" s="14" t="s">
        <v>693</v>
      </c>
      <c r="AH130" s="14" t="s">
        <v>776</v>
      </c>
      <c r="AI130" s="14"/>
      <c r="AJ130" s="14"/>
      <c r="AK130" s="14"/>
      <c r="AL130" s="14"/>
      <c r="AM130" s="16"/>
      <c r="AN130" s="14"/>
      <c r="AO130" s="16"/>
      <c r="AP130" s="5" t="s">
        <v>2060</v>
      </c>
    </row>
    <row r="131" customFormat="false" ht="46.25" hidden="false" customHeight="false" outlineLevel="0" collapsed="false">
      <c r="A131" s="14" t="s">
        <v>2061</v>
      </c>
      <c r="B131" s="14" t="s">
        <v>2062</v>
      </c>
      <c r="C131" s="14" t="s">
        <v>1065</v>
      </c>
      <c r="D131" s="14" t="s">
        <v>1211</v>
      </c>
      <c r="E131" s="14" t="s">
        <v>750</v>
      </c>
      <c r="F131" s="14" t="s">
        <v>659</v>
      </c>
      <c r="G131" s="14" t="s">
        <v>82</v>
      </c>
      <c r="H131" s="14" t="s">
        <v>1551</v>
      </c>
      <c r="I131" s="14" t="n">
        <v>14</v>
      </c>
      <c r="J131" s="14" t="s">
        <v>2063</v>
      </c>
      <c r="K131" s="14" t="s">
        <v>2042</v>
      </c>
      <c r="L131" s="14" t="s">
        <v>2064</v>
      </c>
      <c r="M131" s="14"/>
      <c r="N131" s="14"/>
      <c r="O131" s="14" t="s">
        <v>659</v>
      </c>
      <c r="P131" s="14" t="s">
        <v>659</v>
      </c>
      <c r="Q131" s="14"/>
      <c r="R131" s="14" t="s">
        <v>659</v>
      </c>
      <c r="S131" s="14"/>
      <c r="T131" s="14"/>
      <c r="U131" s="14"/>
      <c r="V131" s="14"/>
      <c r="W131" s="14"/>
      <c r="X131" s="14"/>
      <c r="Y131" s="14" t="s">
        <v>659</v>
      </c>
      <c r="Z131" s="14" t="s">
        <v>659</v>
      </c>
      <c r="AA131" s="16"/>
      <c r="AB131" s="14"/>
      <c r="AC131" s="16"/>
      <c r="AD131" s="14" t="s">
        <v>685</v>
      </c>
      <c r="AE131" s="14" t="s">
        <v>687</v>
      </c>
      <c r="AF131" s="14" t="s">
        <v>691</v>
      </c>
      <c r="AG131" s="14" t="s">
        <v>693</v>
      </c>
      <c r="AH131" s="14" t="s">
        <v>776</v>
      </c>
      <c r="AI131" s="14"/>
      <c r="AJ131" s="14"/>
      <c r="AK131" s="14"/>
      <c r="AL131" s="14"/>
      <c r="AM131" s="16"/>
      <c r="AN131" s="14"/>
      <c r="AO131" s="16"/>
      <c r="AP131" s="5" t="s">
        <v>2065</v>
      </c>
    </row>
    <row r="132" customFormat="false" ht="23.85" hidden="false" customHeight="false" outlineLevel="0" collapsed="false">
      <c r="A132" s="14" t="s">
        <v>2066</v>
      </c>
      <c r="B132" s="14" t="s">
        <v>2067</v>
      </c>
      <c r="C132" s="14" t="s">
        <v>1065</v>
      </c>
      <c r="D132" s="14" t="s">
        <v>1211</v>
      </c>
      <c r="E132" s="14" t="s">
        <v>750</v>
      </c>
      <c r="F132" s="14" t="s">
        <v>659</v>
      </c>
      <c r="G132" s="14" t="s">
        <v>82</v>
      </c>
      <c r="H132" s="14" t="s">
        <v>1551</v>
      </c>
      <c r="I132" s="14" t="n">
        <v>14</v>
      </c>
      <c r="J132" s="14" t="s">
        <v>2068</v>
      </c>
      <c r="K132" s="14" t="s">
        <v>2069</v>
      </c>
      <c r="L132" s="14" t="s">
        <v>2070</v>
      </c>
      <c r="M132" s="14"/>
      <c r="N132" s="14"/>
      <c r="O132" s="14" t="s">
        <v>659</v>
      </c>
      <c r="P132" s="14" t="s">
        <v>659</v>
      </c>
      <c r="Q132" s="14"/>
      <c r="R132" s="14" t="s">
        <v>659</v>
      </c>
      <c r="S132" s="14"/>
      <c r="T132" s="14"/>
      <c r="U132" s="14"/>
      <c r="V132" s="14"/>
      <c r="W132" s="14"/>
      <c r="X132" s="14"/>
      <c r="Y132" s="14" t="s">
        <v>659</v>
      </c>
      <c r="Z132" s="14" t="s">
        <v>659</v>
      </c>
      <c r="AA132" s="16"/>
      <c r="AB132" s="14"/>
      <c r="AC132" s="16"/>
      <c r="AD132" s="14" t="s">
        <v>685</v>
      </c>
      <c r="AE132" s="14" t="s">
        <v>687</v>
      </c>
      <c r="AF132" s="14" t="s">
        <v>691</v>
      </c>
      <c r="AG132" s="14" t="s">
        <v>693</v>
      </c>
      <c r="AH132" s="14" t="s">
        <v>776</v>
      </c>
      <c r="AI132" s="14"/>
      <c r="AJ132" s="14"/>
      <c r="AK132" s="14"/>
      <c r="AL132" s="14"/>
      <c r="AM132" s="16"/>
      <c r="AN132" s="14"/>
      <c r="AO132" s="16"/>
      <c r="AP132" s="5" t="s">
        <v>2071</v>
      </c>
    </row>
    <row r="133" customFormat="false" ht="15" hidden="false" customHeight="false" outlineLevel="0" collapsed="false">
      <c r="A133" s="14" t="s">
        <v>2072</v>
      </c>
      <c r="B133" s="14" t="s">
        <v>2073</v>
      </c>
      <c r="C133" s="14" t="s">
        <v>1065</v>
      </c>
      <c r="D133" s="14" t="s">
        <v>1211</v>
      </c>
      <c r="E133" s="14" t="s">
        <v>750</v>
      </c>
      <c r="F133" s="14" t="s">
        <v>659</v>
      </c>
      <c r="G133" s="14" t="s">
        <v>82</v>
      </c>
      <c r="H133" s="14" t="s">
        <v>1551</v>
      </c>
      <c r="I133" s="14" t="n">
        <v>14</v>
      </c>
      <c r="J133" s="14" t="s">
        <v>2074</v>
      </c>
      <c r="K133" s="14" t="s">
        <v>2075</v>
      </c>
      <c r="L133" s="14" t="s">
        <v>2076</v>
      </c>
      <c r="M133" s="14"/>
      <c r="N133" s="14"/>
      <c r="O133" s="14" t="s">
        <v>658</v>
      </c>
      <c r="P133" s="14" t="s">
        <v>658</v>
      </c>
      <c r="Q133" s="14"/>
      <c r="R133" s="14" t="s">
        <v>658</v>
      </c>
      <c r="S133" s="14"/>
      <c r="T133" s="14"/>
      <c r="U133" s="14"/>
      <c r="V133" s="14"/>
      <c r="W133" s="14"/>
      <c r="X133" s="14"/>
      <c r="Y133" s="14" t="s">
        <v>658</v>
      </c>
      <c r="Z133" s="14" t="s">
        <v>659</v>
      </c>
      <c r="AA133" s="16" t="n">
        <v>4.7</v>
      </c>
      <c r="AB133" s="14"/>
      <c r="AC133" s="16"/>
      <c r="AD133" s="14" t="s">
        <v>685</v>
      </c>
      <c r="AE133" s="14" t="s">
        <v>687</v>
      </c>
      <c r="AF133" s="14" t="s">
        <v>691</v>
      </c>
      <c r="AG133" s="14" t="s">
        <v>693</v>
      </c>
      <c r="AH133" s="14" t="s">
        <v>776</v>
      </c>
      <c r="AI133" s="14"/>
      <c r="AJ133" s="14"/>
      <c r="AK133" s="14"/>
      <c r="AL133" s="14"/>
      <c r="AM133" s="16"/>
      <c r="AN133" s="14"/>
      <c r="AO133" s="16"/>
      <c r="AP133" s="14" t="s">
        <v>2077</v>
      </c>
    </row>
    <row r="134" customFormat="false" ht="15" hidden="false" customHeight="false" outlineLevel="0" collapsed="false">
      <c r="A134" s="14" t="s">
        <v>2078</v>
      </c>
      <c r="B134" s="14" t="s">
        <v>2079</v>
      </c>
      <c r="C134" s="14" t="s">
        <v>1065</v>
      </c>
      <c r="D134" s="14" t="s">
        <v>1211</v>
      </c>
      <c r="E134" s="14" t="s">
        <v>750</v>
      </c>
      <c r="F134" s="14" t="s">
        <v>659</v>
      </c>
      <c r="G134" s="14" t="s">
        <v>82</v>
      </c>
      <c r="H134" s="14" t="s">
        <v>1551</v>
      </c>
      <c r="I134" s="14" t="n">
        <v>14</v>
      </c>
      <c r="J134" s="14" t="s">
        <v>2080</v>
      </c>
      <c r="K134" s="14" t="s">
        <v>2081</v>
      </c>
      <c r="L134" s="14" t="s">
        <v>2082</v>
      </c>
      <c r="M134" s="14"/>
      <c r="N134" s="14"/>
      <c r="O134" s="14" t="s">
        <v>658</v>
      </c>
      <c r="P134" s="14" t="s">
        <v>658</v>
      </c>
      <c r="Q134" s="14"/>
      <c r="R134" s="14" t="s">
        <v>659</v>
      </c>
      <c r="S134" s="14"/>
      <c r="T134" s="14"/>
      <c r="U134" s="14"/>
      <c r="V134" s="14"/>
      <c r="W134" s="14"/>
      <c r="X134" s="14"/>
      <c r="Y134" s="14" t="s">
        <v>658</v>
      </c>
      <c r="Z134" s="14" t="s">
        <v>659</v>
      </c>
      <c r="AA134" s="16" t="n">
        <v>4</v>
      </c>
      <c r="AB134" s="14"/>
      <c r="AC134" s="16"/>
      <c r="AD134" s="14" t="s">
        <v>685</v>
      </c>
      <c r="AE134" s="14" t="s">
        <v>687</v>
      </c>
      <c r="AF134" s="14" t="s">
        <v>691</v>
      </c>
      <c r="AG134" s="14" t="s">
        <v>693</v>
      </c>
      <c r="AH134" s="14" t="s">
        <v>776</v>
      </c>
      <c r="AI134" s="14"/>
      <c r="AJ134" s="14"/>
      <c r="AK134" s="14"/>
      <c r="AL134" s="14"/>
      <c r="AM134" s="16"/>
      <c r="AN134" s="14"/>
      <c r="AO134" s="16"/>
      <c r="AP134" s="14" t="s">
        <v>2083</v>
      </c>
    </row>
    <row r="135" customFormat="false" ht="23.85" hidden="false" customHeight="false" outlineLevel="0" collapsed="false">
      <c r="A135" s="14" t="s">
        <v>2084</v>
      </c>
      <c r="B135" s="14" t="s">
        <v>2085</v>
      </c>
      <c r="C135" s="14" t="s">
        <v>1065</v>
      </c>
      <c r="D135" s="14" t="s">
        <v>1211</v>
      </c>
      <c r="E135" s="14" t="s">
        <v>750</v>
      </c>
      <c r="F135" s="14" t="s">
        <v>659</v>
      </c>
      <c r="G135" s="14" t="s">
        <v>82</v>
      </c>
      <c r="H135" s="14" t="s">
        <v>1551</v>
      </c>
      <c r="I135" s="14" t="n">
        <v>14</v>
      </c>
      <c r="J135" s="14" t="s">
        <v>2086</v>
      </c>
      <c r="K135" s="14" t="s">
        <v>2042</v>
      </c>
      <c r="L135" s="14" t="s">
        <v>2087</v>
      </c>
      <c r="M135" s="14"/>
      <c r="N135" s="14"/>
      <c r="O135" s="14" t="s">
        <v>658</v>
      </c>
      <c r="P135" s="14" t="s">
        <v>658</v>
      </c>
      <c r="Q135" s="14"/>
      <c r="R135" s="14" t="s">
        <v>658</v>
      </c>
      <c r="S135" s="14" t="s">
        <v>659</v>
      </c>
      <c r="T135" s="14" t="s">
        <v>659</v>
      </c>
      <c r="U135" s="14" t="s">
        <v>659</v>
      </c>
      <c r="V135" s="14" t="s">
        <v>659</v>
      </c>
      <c r="W135" s="14" t="s">
        <v>659</v>
      </c>
      <c r="X135" s="14" t="s">
        <v>659</v>
      </c>
      <c r="Y135" s="14" t="s">
        <v>658</v>
      </c>
      <c r="Z135" s="14" t="s">
        <v>658</v>
      </c>
      <c r="AA135" s="16" t="n">
        <v>3.8</v>
      </c>
      <c r="AB135" s="14"/>
      <c r="AC135" s="16"/>
      <c r="AD135" s="14" t="s">
        <v>685</v>
      </c>
      <c r="AE135" s="14" t="s">
        <v>687</v>
      </c>
      <c r="AF135" s="14" t="s">
        <v>691</v>
      </c>
      <c r="AG135" s="14" t="s">
        <v>693</v>
      </c>
      <c r="AH135" s="14" t="s">
        <v>776</v>
      </c>
      <c r="AI135" s="14"/>
      <c r="AJ135" s="14"/>
      <c r="AK135" s="14"/>
      <c r="AL135" s="14"/>
      <c r="AM135" s="16"/>
      <c r="AN135" s="14"/>
      <c r="AO135" s="16"/>
      <c r="AP135" s="5" t="s">
        <v>2088</v>
      </c>
    </row>
    <row r="136" customFormat="false" ht="15" hidden="false" customHeight="false" outlineLevel="0" collapsed="false">
      <c r="A136" s="14" t="s">
        <v>2089</v>
      </c>
      <c r="B136" s="14" t="s">
        <v>2090</v>
      </c>
      <c r="C136" s="14" t="s">
        <v>1065</v>
      </c>
      <c r="D136" s="14" t="s">
        <v>1211</v>
      </c>
      <c r="E136" s="14" t="s">
        <v>750</v>
      </c>
      <c r="F136" s="14" t="s">
        <v>659</v>
      </c>
      <c r="G136" s="14" t="s">
        <v>82</v>
      </c>
      <c r="H136" s="14" t="s">
        <v>1551</v>
      </c>
      <c r="I136" s="14" t="n">
        <v>14</v>
      </c>
      <c r="J136" s="14" t="s">
        <v>2091</v>
      </c>
      <c r="K136" s="14" t="s">
        <v>2069</v>
      </c>
      <c r="L136" s="14"/>
      <c r="M136" s="14"/>
      <c r="N136" s="14"/>
      <c r="O136" s="14" t="s">
        <v>658</v>
      </c>
      <c r="P136" s="14" t="s">
        <v>658</v>
      </c>
      <c r="Q136" s="14"/>
      <c r="R136" s="14" t="s">
        <v>658</v>
      </c>
      <c r="S136" s="14" t="s">
        <v>658</v>
      </c>
      <c r="T136" s="14"/>
      <c r="U136" s="14"/>
      <c r="V136" s="14"/>
      <c r="W136" s="14" t="s">
        <v>658</v>
      </c>
      <c r="X136" s="14"/>
      <c r="Y136" s="14" t="s">
        <v>658</v>
      </c>
      <c r="Z136" s="14" t="s">
        <v>658</v>
      </c>
      <c r="AA136" s="16" t="n">
        <v>3.9</v>
      </c>
      <c r="AB136" s="14"/>
      <c r="AC136" s="16"/>
      <c r="AD136" s="14" t="s">
        <v>686</v>
      </c>
      <c r="AE136" s="14" t="s">
        <v>687</v>
      </c>
      <c r="AF136" s="14" t="s">
        <v>691</v>
      </c>
      <c r="AG136" s="14" t="s">
        <v>693</v>
      </c>
      <c r="AH136" s="14" t="s">
        <v>776</v>
      </c>
      <c r="AI136" s="14"/>
      <c r="AJ136" s="14"/>
      <c r="AK136" s="14"/>
      <c r="AL136" s="14"/>
      <c r="AM136" s="16"/>
      <c r="AN136" s="14"/>
      <c r="AO136" s="16"/>
      <c r="AP136" s="14" t="s">
        <v>2092</v>
      </c>
    </row>
    <row r="137" customFormat="false" ht="15" hidden="false" customHeight="false" outlineLevel="0" collapsed="false">
      <c r="A137" s="14" t="s">
        <v>2093</v>
      </c>
      <c r="B137" s="14" t="s">
        <v>2094</v>
      </c>
      <c r="C137" s="14" t="s">
        <v>1065</v>
      </c>
      <c r="D137" s="14" t="s">
        <v>1211</v>
      </c>
      <c r="E137" s="14" t="s">
        <v>750</v>
      </c>
      <c r="F137" s="14" t="s">
        <v>659</v>
      </c>
      <c r="G137" s="14" t="s">
        <v>82</v>
      </c>
      <c r="H137" s="14" t="s">
        <v>1551</v>
      </c>
      <c r="I137" s="14" t="n">
        <v>14</v>
      </c>
      <c r="J137" s="14" t="s">
        <v>2095</v>
      </c>
      <c r="K137" s="14" t="s">
        <v>1760</v>
      </c>
      <c r="L137" s="14"/>
      <c r="M137" s="14"/>
      <c r="N137" s="14"/>
      <c r="O137" s="14" t="s">
        <v>658</v>
      </c>
      <c r="P137" s="14" t="s">
        <v>659</v>
      </c>
      <c r="Q137" s="14"/>
      <c r="R137" s="14" t="s">
        <v>659</v>
      </c>
      <c r="S137" s="14"/>
      <c r="T137" s="14"/>
      <c r="U137" s="14"/>
      <c r="V137" s="14"/>
      <c r="W137" s="14"/>
      <c r="X137" s="14"/>
      <c r="Y137" s="14" t="s">
        <v>658</v>
      </c>
      <c r="Z137" s="14" t="s">
        <v>659</v>
      </c>
      <c r="AA137" s="16" t="n">
        <v>4</v>
      </c>
      <c r="AB137" s="14"/>
      <c r="AC137" s="16"/>
      <c r="AD137" s="14" t="s">
        <v>686</v>
      </c>
      <c r="AE137" s="14" t="s">
        <v>687</v>
      </c>
      <c r="AF137" s="14" t="s">
        <v>691</v>
      </c>
      <c r="AG137" s="14" t="s">
        <v>693</v>
      </c>
      <c r="AH137" s="14" t="s">
        <v>776</v>
      </c>
      <c r="AI137" s="14"/>
      <c r="AJ137" s="14"/>
      <c r="AK137" s="14"/>
      <c r="AL137" s="14"/>
      <c r="AM137" s="16"/>
      <c r="AN137" s="14"/>
      <c r="AO137" s="16"/>
      <c r="AP137" s="14" t="s">
        <v>2096</v>
      </c>
    </row>
    <row r="138" customFormat="false" ht="15" hidden="false" customHeight="false" outlineLevel="0" collapsed="false">
      <c r="A138" s="14" t="s">
        <v>2097</v>
      </c>
      <c r="B138" s="14" t="s">
        <v>2098</v>
      </c>
      <c r="C138" s="14" t="s">
        <v>1065</v>
      </c>
      <c r="D138" s="14" t="s">
        <v>1211</v>
      </c>
      <c r="E138" s="14" t="s">
        <v>750</v>
      </c>
      <c r="F138" s="14" t="s">
        <v>659</v>
      </c>
      <c r="G138" s="14" t="s">
        <v>82</v>
      </c>
      <c r="H138" s="14" t="s">
        <v>1551</v>
      </c>
      <c r="I138" s="14" t="n">
        <v>14</v>
      </c>
      <c r="J138" s="14" t="s">
        <v>2099</v>
      </c>
      <c r="K138" s="14" t="s">
        <v>2069</v>
      </c>
      <c r="L138" s="14"/>
      <c r="M138" s="14"/>
      <c r="N138" s="14"/>
      <c r="O138" s="14" t="s">
        <v>658</v>
      </c>
      <c r="P138" s="14" t="s">
        <v>658</v>
      </c>
      <c r="Q138" s="14"/>
      <c r="R138" s="14" t="s">
        <v>659</v>
      </c>
      <c r="S138" s="14"/>
      <c r="T138" s="14"/>
      <c r="U138" s="14"/>
      <c r="V138" s="14"/>
      <c r="W138" s="14"/>
      <c r="X138" s="14"/>
      <c r="Y138" s="14" t="s">
        <v>659</v>
      </c>
      <c r="Z138" s="14" t="s">
        <v>658</v>
      </c>
      <c r="AA138" s="16" t="n">
        <v>7</v>
      </c>
      <c r="AB138" s="14"/>
      <c r="AC138" s="16"/>
      <c r="AD138" s="14" t="s">
        <v>685</v>
      </c>
      <c r="AE138" s="14" t="s">
        <v>687</v>
      </c>
      <c r="AF138" s="14" t="s">
        <v>691</v>
      </c>
      <c r="AG138" s="14" t="s">
        <v>693</v>
      </c>
      <c r="AH138" s="14" t="s">
        <v>776</v>
      </c>
      <c r="AI138" s="14"/>
      <c r="AJ138" s="14"/>
      <c r="AK138" s="14"/>
      <c r="AL138" s="14"/>
      <c r="AM138" s="16"/>
      <c r="AN138" s="14"/>
      <c r="AO138" s="16"/>
      <c r="AP138" s="5" t="s">
        <v>2100</v>
      </c>
    </row>
    <row r="139" customFormat="false" ht="15" hidden="false" customHeight="false" outlineLevel="0" collapsed="false">
      <c r="A139" s="14" t="s">
        <v>2101</v>
      </c>
      <c r="B139" s="14" t="s">
        <v>1588</v>
      </c>
      <c r="C139" s="14" t="s">
        <v>1065</v>
      </c>
      <c r="D139" s="14" t="s">
        <v>1211</v>
      </c>
      <c r="E139" s="14" t="s">
        <v>750</v>
      </c>
      <c r="F139" s="14" t="s">
        <v>659</v>
      </c>
      <c r="G139" s="14" t="s">
        <v>82</v>
      </c>
      <c r="H139" s="14" t="s">
        <v>1551</v>
      </c>
      <c r="I139" s="14" t="n">
        <v>14</v>
      </c>
      <c r="J139" s="14" t="s">
        <v>2102</v>
      </c>
      <c r="K139" s="14" t="s">
        <v>2042</v>
      </c>
      <c r="L139" s="14"/>
      <c r="M139" s="14"/>
      <c r="N139" s="14"/>
      <c r="O139" s="14" t="s">
        <v>659</v>
      </c>
      <c r="P139" s="14" t="s">
        <v>659</v>
      </c>
      <c r="Q139" s="14"/>
      <c r="R139" s="14" t="s">
        <v>659</v>
      </c>
      <c r="S139" s="14"/>
      <c r="T139" s="14"/>
      <c r="U139" s="14"/>
      <c r="V139" s="14"/>
      <c r="W139" s="14"/>
      <c r="X139" s="14"/>
      <c r="Y139" s="14" t="s">
        <v>659</v>
      </c>
      <c r="Z139" s="14" t="s">
        <v>659</v>
      </c>
      <c r="AA139" s="16"/>
      <c r="AB139" s="14"/>
      <c r="AC139" s="16"/>
      <c r="AD139" s="14" t="s">
        <v>685</v>
      </c>
      <c r="AE139" s="14" t="s">
        <v>687</v>
      </c>
      <c r="AF139" s="14" t="s">
        <v>691</v>
      </c>
      <c r="AG139" s="14" t="s">
        <v>693</v>
      </c>
      <c r="AH139" s="14" t="s">
        <v>776</v>
      </c>
      <c r="AI139" s="14"/>
      <c r="AJ139" s="14"/>
      <c r="AK139" s="14"/>
      <c r="AL139" s="14"/>
      <c r="AM139" s="16"/>
      <c r="AN139" s="14"/>
      <c r="AO139" s="16"/>
      <c r="AP139" s="14" t="s">
        <v>2103</v>
      </c>
    </row>
    <row r="140" customFormat="false" ht="15" hidden="false" customHeight="false" outlineLevel="0" collapsed="false">
      <c r="A140" s="14" t="s">
        <v>2104</v>
      </c>
      <c r="B140" s="14" t="s">
        <v>2105</v>
      </c>
      <c r="C140" s="14" t="s">
        <v>1065</v>
      </c>
      <c r="D140" s="14" t="s">
        <v>1211</v>
      </c>
      <c r="E140" s="14" t="s">
        <v>750</v>
      </c>
      <c r="F140" s="14" t="s">
        <v>659</v>
      </c>
      <c r="G140" s="14" t="s">
        <v>82</v>
      </c>
      <c r="H140" s="14" t="s">
        <v>1551</v>
      </c>
      <c r="I140" s="14" t="n">
        <v>14</v>
      </c>
      <c r="J140" s="14" t="s">
        <v>2106</v>
      </c>
      <c r="K140" s="14" t="s">
        <v>2042</v>
      </c>
      <c r="L140" s="14" t="s">
        <v>2107</v>
      </c>
      <c r="M140" s="14"/>
      <c r="N140" s="14"/>
      <c r="O140" s="14" t="s">
        <v>659</v>
      </c>
      <c r="P140" s="14" t="s">
        <v>659</v>
      </c>
      <c r="Q140" s="14"/>
      <c r="R140" s="14" t="s">
        <v>659</v>
      </c>
      <c r="S140" s="14"/>
      <c r="T140" s="14"/>
      <c r="U140" s="14"/>
      <c r="V140" s="14"/>
      <c r="W140" s="14"/>
      <c r="X140" s="14"/>
      <c r="Y140" s="14" t="s">
        <v>659</v>
      </c>
      <c r="Z140" s="14" t="s">
        <v>659</v>
      </c>
      <c r="AA140" s="16"/>
      <c r="AB140" s="14"/>
      <c r="AC140" s="16"/>
      <c r="AD140" s="14" t="s">
        <v>685</v>
      </c>
      <c r="AE140" s="14" t="s">
        <v>687</v>
      </c>
      <c r="AF140" s="14" t="s">
        <v>691</v>
      </c>
      <c r="AG140" s="14" t="s">
        <v>693</v>
      </c>
      <c r="AH140" s="14" t="s">
        <v>776</v>
      </c>
      <c r="AI140" s="14"/>
      <c r="AJ140" s="14"/>
      <c r="AK140" s="14"/>
      <c r="AL140" s="14"/>
      <c r="AM140" s="16"/>
      <c r="AN140" s="14"/>
      <c r="AO140" s="16"/>
      <c r="AP140" s="14" t="s">
        <v>2103</v>
      </c>
    </row>
    <row r="141" customFormat="false" ht="15" hidden="false" customHeight="false" outlineLevel="0" collapsed="false">
      <c r="A141" s="14" t="s">
        <v>2108</v>
      </c>
      <c r="B141" s="14" t="s">
        <v>2109</v>
      </c>
      <c r="C141" s="14" t="s">
        <v>1065</v>
      </c>
      <c r="D141" s="14" t="s">
        <v>1211</v>
      </c>
      <c r="E141" s="14" t="s">
        <v>750</v>
      </c>
      <c r="F141" s="14" t="s">
        <v>659</v>
      </c>
      <c r="G141" s="14" t="s">
        <v>82</v>
      </c>
      <c r="H141" s="14" t="s">
        <v>1551</v>
      </c>
      <c r="I141" s="14" t="n">
        <v>14</v>
      </c>
      <c r="J141" s="14" t="s">
        <v>2110</v>
      </c>
      <c r="K141" s="14" t="s">
        <v>2042</v>
      </c>
      <c r="L141" s="14"/>
      <c r="M141" s="14"/>
      <c r="N141" s="14"/>
      <c r="O141" s="14" t="s">
        <v>658</v>
      </c>
      <c r="P141" s="14" t="s">
        <v>659</v>
      </c>
      <c r="Q141" s="14"/>
      <c r="R141" s="14" t="s">
        <v>658</v>
      </c>
      <c r="S141" s="14"/>
      <c r="T141" s="14"/>
      <c r="U141" s="14"/>
      <c r="V141" s="14"/>
      <c r="W141" s="14"/>
      <c r="X141" s="14"/>
      <c r="Y141" s="14" t="s">
        <v>658</v>
      </c>
      <c r="Z141" s="14" t="s">
        <v>658</v>
      </c>
      <c r="AA141" s="16" t="n">
        <v>4</v>
      </c>
      <c r="AB141" s="14"/>
      <c r="AC141" s="16"/>
      <c r="AD141" s="14" t="s">
        <v>685</v>
      </c>
      <c r="AE141" s="14" t="s">
        <v>687</v>
      </c>
      <c r="AF141" s="14" t="s">
        <v>691</v>
      </c>
      <c r="AG141" s="14" t="s">
        <v>693</v>
      </c>
      <c r="AH141" s="14" t="s">
        <v>776</v>
      </c>
      <c r="AI141" s="14"/>
      <c r="AJ141" s="14"/>
      <c r="AK141" s="14"/>
      <c r="AL141" s="14"/>
      <c r="AM141" s="16"/>
      <c r="AN141" s="14"/>
      <c r="AO141" s="16"/>
      <c r="AP141" s="5" t="s">
        <v>2111</v>
      </c>
    </row>
    <row r="142" customFormat="false" ht="15" hidden="false" customHeight="false" outlineLevel="0" collapsed="false">
      <c r="A142" s="14" t="s">
        <v>2112</v>
      </c>
      <c r="B142" s="14" t="s">
        <v>2113</v>
      </c>
      <c r="C142" s="14" t="s">
        <v>1065</v>
      </c>
      <c r="D142" s="14" t="s">
        <v>1211</v>
      </c>
      <c r="E142" s="14" t="s">
        <v>750</v>
      </c>
      <c r="F142" s="14" t="s">
        <v>659</v>
      </c>
      <c r="G142" s="14" t="s">
        <v>82</v>
      </c>
      <c r="H142" s="14" t="s">
        <v>1551</v>
      </c>
      <c r="I142" s="14" t="n">
        <v>14</v>
      </c>
      <c r="J142" s="14" t="s">
        <v>2041</v>
      </c>
      <c r="K142" s="14" t="s">
        <v>2042</v>
      </c>
      <c r="L142" s="14" t="s">
        <v>2114</v>
      </c>
      <c r="M142" s="14"/>
      <c r="N142" s="14"/>
      <c r="O142" s="14" t="s">
        <v>659</v>
      </c>
      <c r="P142" s="14" t="s">
        <v>659</v>
      </c>
      <c r="Q142" s="14"/>
      <c r="R142" s="14" t="s">
        <v>659</v>
      </c>
      <c r="S142" s="14"/>
      <c r="T142" s="14"/>
      <c r="U142" s="14"/>
      <c r="V142" s="14"/>
      <c r="W142" s="14"/>
      <c r="X142" s="14"/>
      <c r="Y142" s="14" t="s">
        <v>659</v>
      </c>
      <c r="Z142" s="14" t="s">
        <v>659</v>
      </c>
      <c r="AA142" s="16"/>
      <c r="AB142" s="14"/>
      <c r="AC142" s="16"/>
      <c r="AD142" s="14" t="s">
        <v>685</v>
      </c>
      <c r="AE142" s="14" t="s">
        <v>687</v>
      </c>
      <c r="AF142" s="14" t="s">
        <v>691</v>
      </c>
      <c r="AG142" s="14" t="s">
        <v>693</v>
      </c>
      <c r="AH142" s="14" t="s">
        <v>776</v>
      </c>
      <c r="AI142" s="14"/>
      <c r="AJ142" s="14"/>
      <c r="AK142" s="14"/>
      <c r="AL142" s="14"/>
      <c r="AM142" s="16"/>
      <c r="AN142" s="14"/>
      <c r="AO142" s="16"/>
      <c r="AP142" s="14" t="s">
        <v>2103</v>
      </c>
    </row>
    <row r="143" customFormat="false" ht="15" hidden="false" customHeight="false" outlineLevel="0" collapsed="false">
      <c r="A143" s="14" t="s">
        <v>2115</v>
      </c>
      <c r="B143" s="14" t="s">
        <v>1778</v>
      </c>
      <c r="C143" s="14" t="s">
        <v>1065</v>
      </c>
      <c r="D143" s="14" t="s">
        <v>1211</v>
      </c>
      <c r="E143" s="14" t="s">
        <v>750</v>
      </c>
      <c r="F143" s="14" t="s">
        <v>659</v>
      </c>
      <c r="G143" s="14" t="s">
        <v>82</v>
      </c>
      <c r="H143" s="14" t="s">
        <v>1551</v>
      </c>
      <c r="I143" s="14" t="n">
        <v>14</v>
      </c>
      <c r="J143" s="14" t="s">
        <v>2116</v>
      </c>
      <c r="K143" s="14" t="s">
        <v>2042</v>
      </c>
      <c r="L143" s="14" t="s">
        <v>2117</v>
      </c>
      <c r="M143" s="14"/>
      <c r="N143" s="14"/>
      <c r="O143" s="14" t="s">
        <v>659</v>
      </c>
      <c r="P143" s="14" t="s">
        <v>659</v>
      </c>
      <c r="Q143" s="14"/>
      <c r="R143" s="14" t="s">
        <v>659</v>
      </c>
      <c r="S143" s="14"/>
      <c r="T143" s="14"/>
      <c r="U143" s="14"/>
      <c r="V143" s="14"/>
      <c r="W143" s="14"/>
      <c r="X143" s="14"/>
      <c r="Y143" s="14" t="s">
        <v>659</v>
      </c>
      <c r="Z143" s="14" t="s">
        <v>659</v>
      </c>
      <c r="AA143" s="16"/>
      <c r="AB143" s="14"/>
      <c r="AC143" s="16"/>
      <c r="AD143" s="14" t="s">
        <v>685</v>
      </c>
      <c r="AE143" s="14" t="s">
        <v>687</v>
      </c>
      <c r="AF143" s="14" t="s">
        <v>691</v>
      </c>
      <c r="AG143" s="14" t="s">
        <v>693</v>
      </c>
      <c r="AH143" s="14" t="s">
        <v>776</v>
      </c>
      <c r="AI143" s="14"/>
      <c r="AJ143" s="14"/>
      <c r="AK143" s="14"/>
      <c r="AL143" s="14"/>
      <c r="AM143" s="16"/>
      <c r="AN143" s="14"/>
      <c r="AO143" s="16"/>
      <c r="AP143" s="14" t="s">
        <v>2103</v>
      </c>
    </row>
    <row r="144" customFormat="false" ht="15" hidden="false" customHeight="false" outlineLevel="0" collapsed="false">
      <c r="A144" s="14" t="s">
        <v>2118</v>
      </c>
      <c r="B144" s="14" t="s">
        <v>2119</v>
      </c>
      <c r="C144" s="14" t="s">
        <v>1065</v>
      </c>
      <c r="D144" s="14" t="s">
        <v>1211</v>
      </c>
      <c r="E144" s="14" t="s">
        <v>750</v>
      </c>
      <c r="F144" s="14" t="s">
        <v>659</v>
      </c>
      <c r="G144" s="14" t="s">
        <v>82</v>
      </c>
      <c r="H144" s="14" t="s">
        <v>1551</v>
      </c>
      <c r="I144" s="14" t="n">
        <v>14</v>
      </c>
      <c r="J144" s="14" t="s">
        <v>2120</v>
      </c>
      <c r="K144" s="14" t="s">
        <v>1760</v>
      </c>
      <c r="L144" s="14"/>
      <c r="M144" s="14"/>
      <c r="N144" s="14"/>
      <c r="O144" s="14" t="s">
        <v>658</v>
      </c>
      <c r="P144" s="14" t="s">
        <v>658</v>
      </c>
      <c r="Q144" s="14"/>
      <c r="R144" s="14" t="s">
        <v>658</v>
      </c>
      <c r="S144" s="14"/>
      <c r="T144" s="14"/>
      <c r="U144" s="14"/>
      <c r="V144" s="14"/>
      <c r="W144" s="14"/>
      <c r="X144" s="14"/>
      <c r="Y144" s="14" t="s">
        <v>659</v>
      </c>
      <c r="Z144" s="14" t="s">
        <v>658</v>
      </c>
      <c r="AA144" s="16"/>
      <c r="AB144" s="14"/>
      <c r="AC144" s="16"/>
      <c r="AD144" s="14" t="s">
        <v>686</v>
      </c>
      <c r="AE144" s="14" t="s">
        <v>687</v>
      </c>
      <c r="AF144" s="14" t="s">
        <v>691</v>
      </c>
      <c r="AG144" s="14" t="s">
        <v>693</v>
      </c>
      <c r="AH144" s="14" t="s">
        <v>2121</v>
      </c>
      <c r="AI144" s="14"/>
      <c r="AJ144" s="14"/>
      <c r="AK144" s="14"/>
      <c r="AL144" s="14"/>
      <c r="AM144" s="16"/>
      <c r="AN144" s="14"/>
      <c r="AO144" s="16"/>
      <c r="AP144" s="14"/>
    </row>
    <row r="145" customFormat="false" ht="15" hidden="false" customHeight="false" outlineLevel="0" collapsed="false">
      <c r="A145" s="14" t="s">
        <v>2122</v>
      </c>
      <c r="B145" s="14" t="s">
        <v>2123</v>
      </c>
      <c r="C145" s="14" t="s">
        <v>1065</v>
      </c>
      <c r="D145" s="14" t="s">
        <v>1211</v>
      </c>
      <c r="E145" s="14" t="s">
        <v>750</v>
      </c>
      <c r="F145" s="14" t="s">
        <v>659</v>
      </c>
      <c r="G145" s="14" t="s">
        <v>82</v>
      </c>
      <c r="H145" s="14" t="s">
        <v>1551</v>
      </c>
      <c r="I145" s="14" t="n">
        <v>14</v>
      </c>
      <c r="J145" s="14" t="s">
        <v>2124</v>
      </c>
      <c r="K145" s="14" t="s">
        <v>2069</v>
      </c>
      <c r="L145" s="14"/>
      <c r="M145" s="14"/>
      <c r="N145" s="14"/>
      <c r="O145" s="14" t="s">
        <v>658</v>
      </c>
      <c r="P145" s="14" t="s">
        <v>658</v>
      </c>
      <c r="Q145" s="14"/>
      <c r="R145" s="14" t="s">
        <v>658</v>
      </c>
      <c r="S145" s="14"/>
      <c r="T145" s="14"/>
      <c r="U145" s="14"/>
      <c r="V145" s="14"/>
      <c r="W145" s="14"/>
      <c r="X145" s="14"/>
      <c r="Y145" s="14" t="s">
        <v>658</v>
      </c>
      <c r="Z145" s="14" t="s">
        <v>659</v>
      </c>
      <c r="AA145" s="16"/>
      <c r="AB145" s="14"/>
      <c r="AC145" s="16"/>
      <c r="AD145" s="14" t="s">
        <v>686</v>
      </c>
      <c r="AE145" s="14" t="s">
        <v>687</v>
      </c>
      <c r="AF145" s="14" t="s">
        <v>691</v>
      </c>
      <c r="AG145" s="14" t="s">
        <v>693</v>
      </c>
      <c r="AH145" s="14" t="s">
        <v>2121</v>
      </c>
      <c r="AI145" s="14"/>
      <c r="AJ145" s="14"/>
      <c r="AK145" s="14"/>
      <c r="AL145" s="14"/>
      <c r="AM145" s="16"/>
      <c r="AN145" s="14"/>
      <c r="AO145" s="16"/>
      <c r="AP145" s="14" t="s">
        <v>2125</v>
      </c>
    </row>
    <row r="146" customFormat="false" ht="15" hidden="false" customHeight="false" outlineLevel="0" collapsed="false">
      <c r="A146" s="14" t="s">
        <v>2126</v>
      </c>
      <c r="B146" s="14" t="s">
        <v>2127</v>
      </c>
      <c r="C146" s="14" t="s">
        <v>1065</v>
      </c>
      <c r="D146" s="14" t="s">
        <v>1211</v>
      </c>
      <c r="E146" s="14" t="s">
        <v>750</v>
      </c>
      <c r="F146" s="14" t="s">
        <v>659</v>
      </c>
      <c r="G146" s="14" t="s">
        <v>82</v>
      </c>
      <c r="H146" s="14" t="s">
        <v>1551</v>
      </c>
      <c r="I146" s="14" t="n">
        <v>14</v>
      </c>
      <c r="J146" s="14" t="s">
        <v>2128</v>
      </c>
      <c r="K146" s="14" t="s">
        <v>2069</v>
      </c>
      <c r="L146" s="14"/>
      <c r="M146" s="14"/>
      <c r="N146" s="14"/>
      <c r="O146" s="14" t="s">
        <v>659</v>
      </c>
      <c r="P146" s="14" t="s">
        <v>659</v>
      </c>
      <c r="Q146" s="14"/>
      <c r="R146" s="14" t="s">
        <v>659</v>
      </c>
      <c r="S146" s="14"/>
      <c r="T146" s="14"/>
      <c r="U146" s="14"/>
      <c r="V146" s="14"/>
      <c r="W146" s="14"/>
      <c r="X146" s="14"/>
      <c r="Y146" s="14" t="s">
        <v>659</v>
      </c>
      <c r="Z146" s="14" t="s">
        <v>659</v>
      </c>
      <c r="AA146" s="16"/>
      <c r="AB146" s="14"/>
      <c r="AC146" s="16"/>
      <c r="AD146" s="14" t="s">
        <v>686</v>
      </c>
      <c r="AE146" s="14" t="s">
        <v>687</v>
      </c>
      <c r="AF146" s="14" t="s">
        <v>691</v>
      </c>
      <c r="AG146" s="14" t="s">
        <v>693</v>
      </c>
      <c r="AH146" s="14" t="s">
        <v>776</v>
      </c>
      <c r="AI146" s="14"/>
      <c r="AJ146" s="14"/>
      <c r="AK146" s="14"/>
      <c r="AL146" s="14"/>
      <c r="AM146" s="16"/>
      <c r="AN146" s="14"/>
      <c r="AO146" s="16"/>
      <c r="AP146" s="14"/>
    </row>
    <row r="147" customFormat="false" ht="15" hidden="false" customHeight="false" outlineLevel="0" collapsed="false">
      <c r="A147" s="14" t="s">
        <v>2129</v>
      </c>
      <c r="B147" s="14" t="s">
        <v>2130</v>
      </c>
      <c r="C147" s="14" t="s">
        <v>1065</v>
      </c>
      <c r="D147" s="14" t="s">
        <v>1211</v>
      </c>
      <c r="E147" s="14" t="s">
        <v>750</v>
      </c>
      <c r="F147" s="14" t="s">
        <v>659</v>
      </c>
      <c r="G147" s="14" t="s">
        <v>82</v>
      </c>
      <c r="H147" s="14" t="s">
        <v>1551</v>
      </c>
      <c r="I147" s="14" t="n">
        <v>14</v>
      </c>
      <c r="J147" s="14" t="s">
        <v>2086</v>
      </c>
      <c r="K147" s="14" t="s">
        <v>2042</v>
      </c>
      <c r="L147" s="14" t="s">
        <v>2131</v>
      </c>
      <c r="M147" s="14"/>
      <c r="N147" s="14"/>
      <c r="O147" s="14" t="s">
        <v>659</v>
      </c>
      <c r="P147" s="14" t="s">
        <v>659</v>
      </c>
      <c r="Q147" s="14"/>
      <c r="R147" s="14" t="s">
        <v>659</v>
      </c>
      <c r="S147" s="14"/>
      <c r="T147" s="14"/>
      <c r="U147" s="14"/>
      <c r="V147" s="14"/>
      <c r="W147" s="14"/>
      <c r="X147" s="14"/>
      <c r="Y147" s="14" t="s">
        <v>659</v>
      </c>
      <c r="Z147" s="14" t="s">
        <v>659</v>
      </c>
      <c r="AA147" s="16"/>
      <c r="AB147" s="14"/>
      <c r="AC147" s="16"/>
      <c r="AD147" s="14" t="s">
        <v>686</v>
      </c>
      <c r="AE147" s="14" t="s">
        <v>687</v>
      </c>
      <c r="AF147" s="14" t="s">
        <v>691</v>
      </c>
      <c r="AG147" s="14" t="s">
        <v>693</v>
      </c>
      <c r="AH147" s="14" t="s">
        <v>776</v>
      </c>
      <c r="AI147" s="14"/>
      <c r="AJ147" s="14"/>
      <c r="AK147" s="14"/>
      <c r="AL147" s="14"/>
      <c r="AM147" s="16"/>
      <c r="AN147" s="14"/>
      <c r="AO147" s="16"/>
      <c r="AP147" s="14"/>
    </row>
    <row r="148" customFormat="false" ht="23.85" hidden="false" customHeight="false" outlineLevel="0" collapsed="false">
      <c r="A148" s="14" t="s">
        <v>2132</v>
      </c>
      <c r="B148" s="14" t="s">
        <v>2133</v>
      </c>
      <c r="C148" s="14" t="s">
        <v>1065</v>
      </c>
      <c r="D148" s="14" t="s">
        <v>1211</v>
      </c>
      <c r="E148" s="14" t="s">
        <v>750</v>
      </c>
      <c r="F148" s="14" t="s">
        <v>659</v>
      </c>
      <c r="G148" s="14" t="s">
        <v>82</v>
      </c>
      <c r="H148" s="14" t="s">
        <v>1551</v>
      </c>
      <c r="I148" s="14" t="n">
        <v>14</v>
      </c>
      <c r="J148" s="14" t="s">
        <v>2134</v>
      </c>
      <c r="K148" s="14" t="s">
        <v>2069</v>
      </c>
      <c r="L148" s="14"/>
      <c r="M148" s="14"/>
      <c r="N148" s="14"/>
      <c r="O148" s="14" t="s">
        <v>658</v>
      </c>
      <c r="P148" s="14" t="s">
        <v>658</v>
      </c>
      <c r="Q148" s="14"/>
      <c r="R148" s="14" t="s">
        <v>659</v>
      </c>
      <c r="S148" s="14"/>
      <c r="T148" s="14"/>
      <c r="U148" s="14"/>
      <c r="V148" s="14"/>
      <c r="W148" s="14"/>
      <c r="X148" s="14"/>
      <c r="Y148" s="14" t="s">
        <v>658</v>
      </c>
      <c r="Z148" s="14" t="s">
        <v>659</v>
      </c>
      <c r="AA148" s="16" t="n">
        <v>4.5</v>
      </c>
      <c r="AB148" s="14"/>
      <c r="AC148" s="16"/>
      <c r="AD148" s="14" t="s">
        <v>686</v>
      </c>
      <c r="AE148" s="14" t="s">
        <v>687</v>
      </c>
      <c r="AF148" s="14" t="s">
        <v>691</v>
      </c>
      <c r="AG148" s="14" t="s">
        <v>693</v>
      </c>
      <c r="AH148" s="14" t="s">
        <v>776</v>
      </c>
      <c r="AI148" s="14"/>
      <c r="AJ148" s="14"/>
      <c r="AK148" s="14"/>
      <c r="AL148" s="14"/>
      <c r="AM148" s="16"/>
      <c r="AN148" s="14"/>
      <c r="AO148" s="16"/>
      <c r="AP148" s="5" t="s">
        <v>2135</v>
      </c>
    </row>
    <row r="149" customFormat="false" ht="15" hidden="false" customHeight="false" outlineLevel="0" collapsed="false">
      <c r="A149" s="14" t="s">
        <v>2136</v>
      </c>
      <c r="B149" s="14" t="s">
        <v>2137</v>
      </c>
      <c r="C149" s="14" t="s">
        <v>1065</v>
      </c>
      <c r="D149" s="14" t="s">
        <v>1211</v>
      </c>
      <c r="E149" s="14" t="s">
        <v>750</v>
      </c>
      <c r="F149" s="14" t="s">
        <v>659</v>
      </c>
      <c r="G149" s="14" t="s">
        <v>82</v>
      </c>
      <c r="H149" s="14" t="s">
        <v>1551</v>
      </c>
      <c r="I149" s="14" t="n">
        <v>14</v>
      </c>
      <c r="J149" s="14" t="s">
        <v>2138</v>
      </c>
      <c r="K149" s="14" t="s">
        <v>2069</v>
      </c>
      <c r="L149" s="14"/>
      <c r="M149" s="14"/>
      <c r="N149" s="14"/>
      <c r="O149" s="14" t="s">
        <v>659</v>
      </c>
      <c r="P149" s="14" t="s">
        <v>659</v>
      </c>
      <c r="Q149" s="14"/>
      <c r="R149" s="14" t="s">
        <v>659</v>
      </c>
      <c r="S149" s="14"/>
      <c r="T149" s="14"/>
      <c r="U149" s="14"/>
      <c r="V149" s="14"/>
      <c r="W149" s="14"/>
      <c r="X149" s="14"/>
      <c r="Y149" s="14" t="s">
        <v>659</v>
      </c>
      <c r="Z149" s="14" t="s">
        <v>659</v>
      </c>
      <c r="AA149" s="16"/>
      <c r="AB149" s="14"/>
      <c r="AC149" s="16"/>
      <c r="AD149" s="14" t="s">
        <v>686</v>
      </c>
      <c r="AE149" s="14" t="s">
        <v>687</v>
      </c>
      <c r="AF149" s="14" t="s">
        <v>691</v>
      </c>
      <c r="AG149" s="14" t="s">
        <v>693</v>
      </c>
      <c r="AH149" s="14" t="s">
        <v>776</v>
      </c>
      <c r="AI149" s="14"/>
      <c r="AJ149" s="14"/>
      <c r="AK149" s="14"/>
      <c r="AL149" s="14"/>
      <c r="AM149" s="16"/>
      <c r="AN149" s="14"/>
      <c r="AO149" s="16"/>
      <c r="AP149" s="14"/>
    </row>
    <row r="150" customFormat="false" ht="15" hidden="false" customHeight="false" outlineLevel="0" collapsed="false">
      <c r="A150" s="14" t="s">
        <v>2139</v>
      </c>
      <c r="B150" s="14" t="s">
        <v>2140</v>
      </c>
      <c r="C150" s="14" t="s">
        <v>1065</v>
      </c>
      <c r="D150" s="14" t="s">
        <v>1211</v>
      </c>
      <c r="E150" s="14" t="s">
        <v>750</v>
      </c>
      <c r="F150" s="14" t="s">
        <v>659</v>
      </c>
      <c r="G150" s="14" t="s">
        <v>82</v>
      </c>
      <c r="H150" s="14" t="s">
        <v>1551</v>
      </c>
      <c r="I150" s="14" t="n">
        <v>14</v>
      </c>
      <c r="J150" s="14" t="s">
        <v>2086</v>
      </c>
      <c r="K150" s="14" t="s">
        <v>2042</v>
      </c>
      <c r="L150" s="14" t="s">
        <v>2141</v>
      </c>
      <c r="M150" s="14"/>
      <c r="N150" s="14"/>
      <c r="O150" s="14" t="s">
        <v>658</v>
      </c>
      <c r="P150" s="14" t="s">
        <v>659</v>
      </c>
      <c r="Q150" s="14"/>
      <c r="R150" s="14" t="s">
        <v>659</v>
      </c>
      <c r="S150" s="14"/>
      <c r="T150" s="14"/>
      <c r="U150" s="14"/>
      <c r="V150" s="14"/>
      <c r="W150" s="14"/>
      <c r="X150" s="14"/>
      <c r="Y150" s="14" t="s">
        <v>659</v>
      </c>
      <c r="Z150" s="14" t="s">
        <v>659</v>
      </c>
      <c r="AA150" s="16"/>
      <c r="AB150" s="14"/>
      <c r="AC150" s="16"/>
      <c r="AD150" s="14" t="s">
        <v>686</v>
      </c>
      <c r="AE150" s="14" t="s">
        <v>687</v>
      </c>
      <c r="AF150" s="14" t="s">
        <v>691</v>
      </c>
      <c r="AG150" s="14" t="s">
        <v>693</v>
      </c>
      <c r="AH150" s="14" t="s">
        <v>776</v>
      </c>
      <c r="AI150" s="14"/>
      <c r="AJ150" s="14"/>
      <c r="AK150" s="14"/>
      <c r="AL150" s="14"/>
      <c r="AM150" s="16"/>
      <c r="AN150" s="14"/>
      <c r="AO150" s="16"/>
      <c r="AP150" s="14"/>
    </row>
    <row r="151" customFormat="false" ht="15" hidden="false" customHeight="false" outlineLevel="0" collapsed="false">
      <c r="A151" s="14" t="s">
        <v>2142</v>
      </c>
      <c r="B151" s="14" t="s">
        <v>2143</v>
      </c>
      <c r="C151" s="14" t="s">
        <v>1065</v>
      </c>
      <c r="D151" s="14" t="s">
        <v>1211</v>
      </c>
      <c r="E151" s="14" t="s">
        <v>750</v>
      </c>
      <c r="F151" s="14" t="s">
        <v>659</v>
      </c>
      <c r="G151" s="14" t="s">
        <v>82</v>
      </c>
      <c r="H151" s="14" t="s">
        <v>1551</v>
      </c>
      <c r="I151" s="14" t="n">
        <v>14</v>
      </c>
      <c r="J151" s="14" t="s">
        <v>2086</v>
      </c>
      <c r="K151" s="14" t="s">
        <v>2042</v>
      </c>
      <c r="L151" s="14" t="s">
        <v>2141</v>
      </c>
      <c r="M151" s="14"/>
      <c r="N151" s="14"/>
      <c r="O151" s="14" t="s">
        <v>659</v>
      </c>
      <c r="P151" s="14" t="s">
        <v>659</v>
      </c>
      <c r="Q151" s="14"/>
      <c r="R151" s="14" t="s">
        <v>659</v>
      </c>
      <c r="S151" s="14"/>
      <c r="T151" s="14"/>
      <c r="U151" s="14"/>
      <c r="V151" s="14"/>
      <c r="W151" s="14"/>
      <c r="X151" s="14"/>
      <c r="Y151" s="14" t="s">
        <v>659</v>
      </c>
      <c r="Z151" s="14" t="s">
        <v>659</v>
      </c>
      <c r="AA151" s="16"/>
      <c r="AB151" s="14"/>
      <c r="AC151" s="16"/>
      <c r="AD151" s="14" t="s">
        <v>686</v>
      </c>
      <c r="AE151" s="14" t="s">
        <v>687</v>
      </c>
      <c r="AF151" s="14" t="s">
        <v>691</v>
      </c>
      <c r="AG151" s="14" t="s">
        <v>693</v>
      </c>
      <c r="AH151" s="14" t="s">
        <v>694</v>
      </c>
      <c r="AI151" s="14"/>
      <c r="AJ151" s="14"/>
      <c r="AK151" s="14"/>
      <c r="AL151" s="14"/>
      <c r="AM151" s="16"/>
      <c r="AN151" s="14"/>
      <c r="AO151" s="16"/>
      <c r="AP151" s="14" t="s">
        <v>2044</v>
      </c>
    </row>
    <row r="152" customFormat="false" ht="23.85" hidden="false" customHeight="false" outlineLevel="0" collapsed="false">
      <c r="A152" s="14" t="s">
        <v>2144</v>
      </c>
      <c r="B152" s="14" t="s">
        <v>2145</v>
      </c>
      <c r="C152" s="14" t="s">
        <v>1065</v>
      </c>
      <c r="D152" s="14" t="s">
        <v>1211</v>
      </c>
      <c r="E152" s="14" t="s">
        <v>750</v>
      </c>
      <c r="F152" s="14" t="s">
        <v>659</v>
      </c>
      <c r="G152" s="14" t="s">
        <v>82</v>
      </c>
      <c r="H152" s="14" t="s">
        <v>1551</v>
      </c>
      <c r="I152" s="14" t="n">
        <v>14</v>
      </c>
      <c r="J152" s="14" t="s">
        <v>2146</v>
      </c>
      <c r="K152" s="14" t="s">
        <v>2069</v>
      </c>
      <c r="L152" s="14"/>
      <c r="M152" s="14"/>
      <c r="N152" s="14"/>
      <c r="O152" s="14" t="s">
        <v>658</v>
      </c>
      <c r="P152" s="14" t="s">
        <v>659</v>
      </c>
      <c r="Q152" s="14"/>
      <c r="R152" s="14" t="s">
        <v>659</v>
      </c>
      <c r="S152" s="14"/>
      <c r="T152" s="14"/>
      <c r="U152" s="14" t="s">
        <v>658</v>
      </c>
      <c r="V152" s="14"/>
      <c r="W152" s="14"/>
      <c r="X152" s="14"/>
      <c r="Y152" s="14" t="s">
        <v>658</v>
      </c>
      <c r="Z152" s="14" t="s">
        <v>659</v>
      </c>
      <c r="AA152" s="16" t="n">
        <v>5</v>
      </c>
      <c r="AB152" s="14"/>
      <c r="AC152" s="16"/>
      <c r="AD152" s="14" t="s">
        <v>686</v>
      </c>
      <c r="AE152" s="14" t="s">
        <v>687</v>
      </c>
      <c r="AF152" s="14" t="s">
        <v>691</v>
      </c>
      <c r="AG152" s="14" t="s">
        <v>693</v>
      </c>
      <c r="AH152" s="14" t="s">
        <v>776</v>
      </c>
      <c r="AI152" s="14"/>
      <c r="AJ152" s="14"/>
      <c r="AK152" s="14"/>
      <c r="AL152" s="14"/>
      <c r="AM152" s="16"/>
      <c r="AN152" s="14"/>
      <c r="AO152" s="16"/>
      <c r="AP152" s="5" t="s">
        <v>2147</v>
      </c>
    </row>
    <row r="153" customFormat="false" ht="15" hidden="false" customHeight="false" outlineLevel="0" collapsed="false">
      <c r="A153" s="14" t="s">
        <v>2148</v>
      </c>
      <c r="B153" s="14" t="s">
        <v>2149</v>
      </c>
      <c r="C153" s="14" t="s">
        <v>1065</v>
      </c>
      <c r="D153" s="14" t="s">
        <v>1211</v>
      </c>
      <c r="E153" s="14" t="s">
        <v>750</v>
      </c>
      <c r="F153" s="14" t="s">
        <v>659</v>
      </c>
      <c r="G153" s="14" t="s">
        <v>82</v>
      </c>
      <c r="H153" s="14" t="s">
        <v>1551</v>
      </c>
      <c r="I153" s="14" t="n">
        <v>14</v>
      </c>
      <c r="J153" s="14" t="s">
        <v>2150</v>
      </c>
      <c r="K153" s="14" t="s">
        <v>2069</v>
      </c>
      <c r="L153" s="14"/>
      <c r="M153" s="14"/>
      <c r="N153" s="14"/>
      <c r="O153" s="14" t="s">
        <v>658</v>
      </c>
      <c r="P153" s="14" t="s">
        <v>659</v>
      </c>
      <c r="Q153" s="14"/>
      <c r="R153" s="14" t="s">
        <v>659</v>
      </c>
      <c r="S153" s="14"/>
      <c r="T153" s="14"/>
      <c r="U153" s="14"/>
      <c r="V153" s="14"/>
      <c r="W153" s="14"/>
      <c r="X153" s="14"/>
      <c r="Y153" s="14" t="s">
        <v>658</v>
      </c>
      <c r="Z153" s="14" t="s">
        <v>659</v>
      </c>
      <c r="AA153" s="16" t="n">
        <v>4</v>
      </c>
      <c r="AB153" s="14"/>
      <c r="AC153" s="16"/>
      <c r="AD153" s="14" t="s">
        <v>686</v>
      </c>
      <c r="AE153" s="14" t="s">
        <v>687</v>
      </c>
      <c r="AF153" s="14" t="s">
        <v>691</v>
      </c>
      <c r="AG153" s="14" t="s">
        <v>693</v>
      </c>
      <c r="AH153" s="14" t="s">
        <v>776</v>
      </c>
      <c r="AI153" s="14"/>
      <c r="AJ153" s="14"/>
      <c r="AK153" s="14"/>
      <c r="AL153" s="14"/>
      <c r="AM153" s="16"/>
      <c r="AN153" s="14"/>
      <c r="AO153" s="16"/>
      <c r="AP153" s="14" t="s">
        <v>2151</v>
      </c>
    </row>
    <row r="154" customFormat="false" ht="15" hidden="false" customHeight="false" outlineLevel="0" collapsed="false">
      <c r="A154" s="14" t="s">
        <v>2152</v>
      </c>
      <c r="B154" s="14" t="s">
        <v>2153</v>
      </c>
      <c r="C154" s="14" t="s">
        <v>1065</v>
      </c>
      <c r="D154" s="14" t="s">
        <v>1211</v>
      </c>
      <c r="E154" s="14" t="s">
        <v>750</v>
      </c>
      <c r="F154" s="14" t="s">
        <v>659</v>
      </c>
      <c r="G154" s="14" t="s">
        <v>82</v>
      </c>
      <c r="H154" s="14" t="s">
        <v>1551</v>
      </c>
      <c r="I154" s="14" t="n">
        <v>14</v>
      </c>
      <c r="J154" s="14" t="s">
        <v>2154</v>
      </c>
      <c r="K154" s="14" t="s">
        <v>2069</v>
      </c>
      <c r="L154" s="14"/>
      <c r="M154" s="14"/>
      <c r="N154" s="14"/>
      <c r="O154" s="14" t="s">
        <v>658</v>
      </c>
      <c r="P154" s="14" t="s">
        <v>658</v>
      </c>
      <c r="Q154" s="14"/>
      <c r="R154" s="14" t="s">
        <v>659</v>
      </c>
      <c r="S154" s="14"/>
      <c r="T154" s="14"/>
      <c r="U154" s="14"/>
      <c r="V154" s="14"/>
      <c r="W154" s="14"/>
      <c r="X154" s="14"/>
      <c r="Y154" s="14" t="s">
        <v>658</v>
      </c>
      <c r="Z154" s="14" t="s">
        <v>659</v>
      </c>
      <c r="AA154" s="16" t="n">
        <v>4</v>
      </c>
      <c r="AB154" s="14"/>
      <c r="AC154" s="16"/>
      <c r="AD154" s="14" t="s">
        <v>686</v>
      </c>
      <c r="AE154" s="14" t="s">
        <v>687</v>
      </c>
      <c r="AF154" s="14" t="s">
        <v>691</v>
      </c>
      <c r="AG154" s="14" t="s">
        <v>693</v>
      </c>
      <c r="AH154" s="14" t="s">
        <v>776</v>
      </c>
      <c r="AI154" s="14"/>
      <c r="AJ154" s="14"/>
      <c r="AK154" s="14"/>
      <c r="AL154" s="14"/>
      <c r="AM154" s="16"/>
      <c r="AN154" s="14"/>
      <c r="AO154" s="16"/>
      <c r="AP154" s="14" t="s">
        <v>2155</v>
      </c>
    </row>
    <row r="155" customFormat="false" ht="15" hidden="false" customHeight="false" outlineLevel="0" collapsed="false">
      <c r="A155" s="14" t="s">
        <v>2156</v>
      </c>
      <c r="B155" s="14" t="s">
        <v>2157</v>
      </c>
      <c r="C155" s="14" t="s">
        <v>1065</v>
      </c>
      <c r="D155" s="14" t="s">
        <v>1211</v>
      </c>
      <c r="E155" s="14" t="s">
        <v>752</v>
      </c>
      <c r="F155" s="14" t="s">
        <v>659</v>
      </c>
      <c r="G155" s="14" t="s">
        <v>82</v>
      </c>
      <c r="H155" s="14" t="s">
        <v>1551</v>
      </c>
      <c r="I155" s="14" t="n">
        <v>14</v>
      </c>
      <c r="J155" s="14" t="s">
        <v>2158</v>
      </c>
      <c r="K155" s="14" t="s">
        <v>2042</v>
      </c>
      <c r="L155" s="14"/>
      <c r="M155" s="14"/>
      <c r="N155" s="14"/>
      <c r="O155" s="14" t="s">
        <v>658</v>
      </c>
      <c r="P155" s="14" t="s">
        <v>659</v>
      </c>
      <c r="Q155" s="14"/>
      <c r="R155" s="14" t="s">
        <v>659</v>
      </c>
      <c r="S155" s="14"/>
      <c r="T155" s="14"/>
      <c r="U155" s="14"/>
      <c r="V155" s="14"/>
      <c r="W155" s="14"/>
      <c r="X155" s="14"/>
      <c r="Y155" s="14" t="s">
        <v>658</v>
      </c>
      <c r="Z155" s="14" t="s">
        <v>659</v>
      </c>
      <c r="AA155" s="16"/>
      <c r="AB155" s="14"/>
      <c r="AC155" s="16"/>
      <c r="AD155" s="14" t="s">
        <v>685</v>
      </c>
      <c r="AE155" s="14" t="s">
        <v>687</v>
      </c>
      <c r="AF155" s="14" t="s">
        <v>691</v>
      </c>
      <c r="AG155" s="14" t="s">
        <v>693</v>
      </c>
      <c r="AH155" s="14" t="s">
        <v>776</v>
      </c>
      <c r="AI155" s="14"/>
      <c r="AJ155" s="14"/>
      <c r="AK155" s="14"/>
      <c r="AL155" s="14"/>
      <c r="AM155" s="16"/>
      <c r="AN155" s="14"/>
      <c r="AO155" s="16"/>
      <c r="AP155" s="14" t="s">
        <v>2159</v>
      </c>
    </row>
    <row r="156" customFormat="false" ht="15" hidden="false" customHeight="false" outlineLevel="0" collapsed="false">
      <c r="A156" s="14" t="s">
        <v>2160</v>
      </c>
      <c r="B156" s="14" t="s">
        <v>2161</v>
      </c>
      <c r="C156" s="14" t="s">
        <v>1065</v>
      </c>
      <c r="D156" s="14" t="s">
        <v>1211</v>
      </c>
      <c r="E156" s="14" t="s">
        <v>750</v>
      </c>
      <c r="F156" s="14" t="s">
        <v>659</v>
      </c>
      <c r="G156" s="14" t="s">
        <v>82</v>
      </c>
      <c r="H156" s="14" t="s">
        <v>1551</v>
      </c>
      <c r="I156" s="14" t="n">
        <v>14</v>
      </c>
      <c r="J156" s="14" t="s">
        <v>2162</v>
      </c>
      <c r="K156" s="14" t="s">
        <v>2069</v>
      </c>
      <c r="L156" s="14"/>
      <c r="M156" s="14"/>
      <c r="N156" s="14"/>
      <c r="O156" s="14" t="s">
        <v>658</v>
      </c>
      <c r="P156" s="14" t="s">
        <v>659</v>
      </c>
      <c r="Q156" s="14"/>
      <c r="R156" s="14" t="s">
        <v>659</v>
      </c>
      <c r="S156" s="14"/>
      <c r="T156" s="14"/>
      <c r="U156" s="14"/>
      <c r="V156" s="14"/>
      <c r="W156" s="14"/>
      <c r="X156" s="14"/>
      <c r="Y156" s="14" t="s">
        <v>658</v>
      </c>
      <c r="Z156" s="14" t="s">
        <v>659</v>
      </c>
      <c r="AA156" s="16" t="n">
        <v>5</v>
      </c>
      <c r="AB156" s="14"/>
      <c r="AC156" s="16"/>
      <c r="AD156" s="14" t="s">
        <v>686</v>
      </c>
      <c r="AE156" s="14" t="s">
        <v>687</v>
      </c>
      <c r="AF156" s="14" t="s">
        <v>691</v>
      </c>
      <c r="AG156" s="14" t="s">
        <v>693</v>
      </c>
      <c r="AH156" s="14" t="s">
        <v>776</v>
      </c>
      <c r="AI156" s="14"/>
      <c r="AJ156" s="14"/>
      <c r="AK156" s="14"/>
      <c r="AL156" s="14"/>
      <c r="AM156" s="16"/>
      <c r="AN156" s="14"/>
      <c r="AO156" s="16"/>
      <c r="AP156" s="14" t="s">
        <v>2163</v>
      </c>
    </row>
    <row r="157" customFormat="false" ht="15" hidden="false" customHeight="false" outlineLevel="0" collapsed="false">
      <c r="A157" s="14" t="s">
        <v>2164</v>
      </c>
      <c r="B157" s="14" t="s">
        <v>2165</v>
      </c>
      <c r="C157" s="14" t="s">
        <v>1065</v>
      </c>
      <c r="D157" s="14" t="s">
        <v>1211</v>
      </c>
      <c r="E157" s="14" t="s">
        <v>750</v>
      </c>
      <c r="F157" s="14" t="s">
        <v>659</v>
      </c>
      <c r="G157" s="14" t="s">
        <v>82</v>
      </c>
      <c r="H157" s="14" t="s">
        <v>1551</v>
      </c>
      <c r="I157" s="14" t="n">
        <v>14</v>
      </c>
      <c r="J157" s="14" t="s">
        <v>1212</v>
      </c>
      <c r="K157" s="14" t="s">
        <v>2042</v>
      </c>
      <c r="L157" s="14"/>
      <c r="M157" s="14"/>
      <c r="N157" s="14"/>
      <c r="O157" s="14" t="s">
        <v>658</v>
      </c>
      <c r="P157" s="14" t="s">
        <v>658</v>
      </c>
      <c r="Q157" s="14"/>
      <c r="R157" s="14" t="s">
        <v>658</v>
      </c>
      <c r="S157" s="14" t="s">
        <v>658</v>
      </c>
      <c r="T157" s="14" t="s">
        <v>659</v>
      </c>
      <c r="U157" s="14" t="s">
        <v>658</v>
      </c>
      <c r="V157" s="14" t="s">
        <v>658</v>
      </c>
      <c r="W157" s="14" t="s">
        <v>658</v>
      </c>
      <c r="X157" s="14" t="s">
        <v>659</v>
      </c>
      <c r="Y157" s="14" t="s">
        <v>658</v>
      </c>
      <c r="Z157" s="14" t="s">
        <v>658</v>
      </c>
      <c r="AA157" s="16" t="n">
        <v>4.9</v>
      </c>
      <c r="AB157" s="14"/>
      <c r="AC157" s="16"/>
      <c r="AD157" s="14" t="s">
        <v>685</v>
      </c>
      <c r="AE157" s="14" t="s">
        <v>688</v>
      </c>
      <c r="AF157" s="14" t="s">
        <v>691</v>
      </c>
      <c r="AG157" s="14" t="s">
        <v>693</v>
      </c>
      <c r="AH157" s="14" t="s">
        <v>776</v>
      </c>
      <c r="AI157" s="14"/>
      <c r="AJ157" s="14"/>
      <c r="AK157" s="14"/>
      <c r="AL157" s="14"/>
      <c r="AM157" s="16"/>
      <c r="AN157" s="14"/>
      <c r="AO157" s="16"/>
      <c r="AP157" s="14" t="s">
        <v>2166</v>
      </c>
    </row>
    <row r="158" customFormat="false" ht="15" hidden="false" customHeight="false" outlineLevel="0" collapsed="false">
      <c r="A158" s="14" t="s">
        <v>2167</v>
      </c>
      <c r="B158" s="14" t="s">
        <v>2168</v>
      </c>
      <c r="C158" s="14" t="s">
        <v>1065</v>
      </c>
      <c r="D158" s="14" t="s">
        <v>1211</v>
      </c>
      <c r="E158" s="14" t="s">
        <v>750</v>
      </c>
      <c r="F158" s="14" t="s">
        <v>659</v>
      </c>
      <c r="G158" s="14" t="s">
        <v>82</v>
      </c>
      <c r="H158" s="14" t="s">
        <v>1551</v>
      </c>
      <c r="I158" s="14" t="n">
        <v>14</v>
      </c>
      <c r="J158" s="14" t="s">
        <v>2169</v>
      </c>
      <c r="K158" s="14" t="s">
        <v>2069</v>
      </c>
      <c r="L158" s="14"/>
      <c r="M158" s="14"/>
      <c r="N158" s="14"/>
      <c r="O158" s="14" t="s">
        <v>659</v>
      </c>
      <c r="P158" s="14" t="s">
        <v>659</v>
      </c>
      <c r="Q158" s="14"/>
      <c r="R158" s="14" t="s">
        <v>659</v>
      </c>
      <c r="S158" s="14"/>
      <c r="T158" s="14"/>
      <c r="U158" s="14"/>
      <c r="V158" s="14"/>
      <c r="W158" s="14"/>
      <c r="X158" s="14"/>
      <c r="Y158" s="14" t="s">
        <v>659</v>
      </c>
      <c r="Z158" s="14" t="s">
        <v>659</v>
      </c>
      <c r="AA158" s="16"/>
      <c r="AB158" s="14"/>
      <c r="AC158" s="16"/>
      <c r="AD158" s="14" t="s">
        <v>686</v>
      </c>
      <c r="AE158" s="14" t="s">
        <v>688</v>
      </c>
      <c r="AF158" s="14" t="s">
        <v>691</v>
      </c>
      <c r="AG158" s="14" t="s">
        <v>693</v>
      </c>
      <c r="AH158" s="14" t="s">
        <v>2170</v>
      </c>
      <c r="AI158" s="14"/>
      <c r="AJ158" s="14"/>
      <c r="AK158" s="14"/>
      <c r="AL158" s="14"/>
      <c r="AM158" s="16"/>
      <c r="AN158" s="14"/>
      <c r="AO158" s="16"/>
      <c r="AP158" s="14" t="s">
        <v>2171</v>
      </c>
    </row>
    <row r="159" customFormat="false" ht="15" hidden="false" customHeight="false" outlineLevel="0" collapsed="false">
      <c r="A159" s="14" t="s">
        <v>2172</v>
      </c>
      <c r="B159" s="14" t="s">
        <v>2173</v>
      </c>
      <c r="C159" s="14" t="s">
        <v>1065</v>
      </c>
      <c r="D159" s="14" t="s">
        <v>1211</v>
      </c>
      <c r="E159" s="14" t="s">
        <v>750</v>
      </c>
      <c r="F159" s="14" t="s">
        <v>659</v>
      </c>
      <c r="G159" s="14" t="s">
        <v>82</v>
      </c>
      <c r="H159" s="14" t="s">
        <v>1551</v>
      </c>
      <c r="I159" s="14" t="n">
        <v>14</v>
      </c>
      <c r="J159" s="14" t="s">
        <v>2134</v>
      </c>
      <c r="K159" s="14" t="s">
        <v>2069</v>
      </c>
      <c r="L159" s="14"/>
      <c r="M159" s="14"/>
      <c r="N159" s="14"/>
      <c r="O159" s="14" t="s">
        <v>659</v>
      </c>
      <c r="P159" s="14" t="s">
        <v>659</v>
      </c>
      <c r="Q159" s="14"/>
      <c r="R159" s="14" t="s">
        <v>659</v>
      </c>
      <c r="S159" s="14"/>
      <c r="T159" s="14"/>
      <c r="U159" s="14"/>
      <c r="V159" s="14"/>
      <c r="W159" s="14"/>
      <c r="X159" s="14"/>
      <c r="Y159" s="14" t="s">
        <v>659</v>
      </c>
      <c r="Z159" s="14" t="s">
        <v>659</v>
      </c>
      <c r="AA159" s="16"/>
      <c r="AB159" s="14"/>
      <c r="AC159" s="16"/>
      <c r="AD159" s="14" t="s">
        <v>686</v>
      </c>
      <c r="AE159" s="14" t="s">
        <v>687</v>
      </c>
      <c r="AF159" s="14" t="s">
        <v>691</v>
      </c>
      <c r="AG159" s="14" t="s">
        <v>693</v>
      </c>
      <c r="AH159" s="14" t="s">
        <v>776</v>
      </c>
      <c r="AI159" s="14"/>
      <c r="AJ159" s="14"/>
      <c r="AK159" s="14"/>
      <c r="AL159" s="14"/>
      <c r="AM159" s="16"/>
      <c r="AN159" s="14"/>
      <c r="AO159" s="16"/>
      <c r="AP159" s="5" t="s">
        <v>2174</v>
      </c>
    </row>
    <row r="160" customFormat="false" ht="15" hidden="false" customHeight="false" outlineLevel="0" collapsed="false">
      <c r="A160" s="14" t="s">
        <v>2175</v>
      </c>
      <c r="B160" s="14" t="s">
        <v>2176</v>
      </c>
      <c r="C160" s="14" t="s">
        <v>1065</v>
      </c>
      <c r="D160" s="14" t="s">
        <v>1211</v>
      </c>
      <c r="E160" s="14" t="s">
        <v>750</v>
      </c>
      <c r="F160" s="14" t="s">
        <v>659</v>
      </c>
      <c r="G160" s="14" t="s">
        <v>82</v>
      </c>
      <c r="H160" s="14" t="s">
        <v>1551</v>
      </c>
      <c r="I160" s="14" t="n">
        <v>14</v>
      </c>
      <c r="J160" s="14" t="s">
        <v>2177</v>
      </c>
      <c r="K160" s="14" t="s">
        <v>2069</v>
      </c>
      <c r="L160" s="14"/>
      <c r="M160" s="14"/>
      <c r="N160" s="14"/>
      <c r="O160" s="14" t="s">
        <v>658</v>
      </c>
      <c r="P160" s="14" t="s">
        <v>659</v>
      </c>
      <c r="Q160" s="14"/>
      <c r="R160" s="14" t="s">
        <v>658</v>
      </c>
      <c r="S160" s="14"/>
      <c r="T160" s="14"/>
      <c r="U160" s="14"/>
      <c r="V160" s="14"/>
      <c r="W160" s="14"/>
      <c r="X160" s="14"/>
      <c r="Y160" s="14" t="s">
        <v>659</v>
      </c>
      <c r="Z160" s="14" t="s">
        <v>659</v>
      </c>
      <c r="AA160" s="16"/>
      <c r="AB160" s="14"/>
      <c r="AC160" s="16"/>
      <c r="AD160" s="14" t="s">
        <v>686</v>
      </c>
      <c r="AE160" s="14" t="s">
        <v>687</v>
      </c>
      <c r="AF160" s="14" t="s">
        <v>691</v>
      </c>
      <c r="AG160" s="14" t="s">
        <v>693</v>
      </c>
      <c r="AH160" s="14" t="s">
        <v>776</v>
      </c>
      <c r="AI160" s="14"/>
      <c r="AJ160" s="14"/>
      <c r="AK160" s="14"/>
      <c r="AL160" s="14"/>
      <c r="AM160" s="16"/>
      <c r="AN160" s="14"/>
      <c r="AO160" s="16"/>
      <c r="AP160" s="14" t="s">
        <v>2178</v>
      </c>
    </row>
    <row r="161" customFormat="false" ht="15" hidden="false" customHeight="false" outlineLevel="0" collapsed="false">
      <c r="A161" s="14" t="s">
        <v>2179</v>
      </c>
      <c r="B161" s="14" t="s">
        <v>2180</v>
      </c>
      <c r="C161" s="14" t="s">
        <v>1065</v>
      </c>
      <c r="D161" s="14" t="s">
        <v>1213</v>
      </c>
      <c r="E161" s="14" t="s">
        <v>750</v>
      </c>
      <c r="F161" s="14" t="s">
        <v>659</v>
      </c>
      <c r="G161" s="14" t="s">
        <v>82</v>
      </c>
      <c r="H161" s="14" t="s">
        <v>1551</v>
      </c>
      <c r="I161" s="14" t="n">
        <v>14</v>
      </c>
      <c r="J161" s="14" t="s">
        <v>2181</v>
      </c>
      <c r="K161" s="14" t="s">
        <v>2182</v>
      </c>
      <c r="L161" s="14"/>
      <c r="M161" s="14"/>
      <c r="N161" s="14"/>
      <c r="O161" s="14" t="s">
        <v>658</v>
      </c>
      <c r="P161" s="14" t="s">
        <v>659</v>
      </c>
      <c r="Q161" s="14"/>
      <c r="R161" s="14" t="s">
        <v>659</v>
      </c>
      <c r="S161" s="14"/>
      <c r="T161" s="14"/>
      <c r="U161" s="14"/>
      <c r="V161" s="14"/>
      <c r="W161" s="14"/>
      <c r="X161" s="14"/>
      <c r="Y161" s="14" t="s">
        <v>659</v>
      </c>
      <c r="Z161" s="14" t="s">
        <v>659</v>
      </c>
      <c r="AA161" s="16" t="n">
        <v>4.2</v>
      </c>
      <c r="AB161" s="14"/>
      <c r="AC161" s="16"/>
      <c r="AD161" s="14" t="s">
        <v>685</v>
      </c>
      <c r="AE161" s="14" t="s">
        <v>687</v>
      </c>
      <c r="AF161" s="14" t="s">
        <v>691</v>
      </c>
      <c r="AG161" s="14" t="s">
        <v>693</v>
      </c>
      <c r="AH161" s="14" t="s">
        <v>2183</v>
      </c>
      <c r="AI161" s="14"/>
      <c r="AJ161" s="14"/>
      <c r="AK161" s="14"/>
      <c r="AL161" s="14"/>
      <c r="AM161" s="16"/>
      <c r="AN161" s="14"/>
      <c r="AO161" s="16"/>
      <c r="AP161" s="14" t="s">
        <v>2184</v>
      </c>
    </row>
    <row r="162" customFormat="false" ht="23.85" hidden="false" customHeight="false" outlineLevel="0" collapsed="false">
      <c r="A162" s="14" t="s">
        <v>2185</v>
      </c>
      <c r="B162" s="14" t="s">
        <v>2186</v>
      </c>
      <c r="C162" s="14" t="s">
        <v>1065</v>
      </c>
      <c r="D162" s="14" t="s">
        <v>1213</v>
      </c>
      <c r="E162" s="14" t="s">
        <v>750</v>
      </c>
      <c r="F162" s="14" t="s">
        <v>659</v>
      </c>
      <c r="G162" s="14" t="s">
        <v>82</v>
      </c>
      <c r="H162" s="14" t="s">
        <v>1551</v>
      </c>
      <c r="I162" s="14" t="n">
        <v>14</v>
      </c>
      <c r="J162" s="14" t="s">
        <v>2181</v>
      </c>
      <c r="K162" s="14" t="s">
        <v>2182</v>
      </c>
      <c r="L162" s="14"/>
      <c r="M162" s="14"/>
      <c r="N162" s="14"/>
      <c r="O162" s="14" t="s">
        <v>658</v>
      </c>
      <c r="P162" s="14" t="s">
        <v>659</v>
      </c>
      <c r="Q162" s="14"/>
      <c r="R162" s="14" t="s">
        <v>659</v>
      </c>
      <c r="S162" s="14"/>
      <c r="T162" s="14"/>
      <c r="U162" s="14"/>
      <c r="V162" s="14"/>
      <c r="W162" s="14"/>
      <c r="X162" s="14"/>
      <c r="Y162" s="14" t="s">
        <v>659</v>
      </c>
      <c r="Z162" s="14" t="s">
        <v>659</v>
      </c>
      <c r="AA162" s="16" t="n">
        <v>3</v>
      </c>
      <c r="AB162" s="14"/>
      <c r="AC162" s="16"/>
      <c r="AD162" s="14" t="s">
        <v>685</v>
      </c>
      <c r="AE162" s="14" t="s">
        <v>687</v>
      </c>
      <c r="AF162" s="14" t="s">
        <v>691</v>
      </c>
      <c r="AG162" s="14" t="s">
        <v>693</v>
      </c>
      <c r="AH162" s="14" t="s">
        <v>2183</v>
      </c>
      <c r="AI162" s="14"/>
      <c r="AJ162" s="14"/>
      <c r="AK162" s="14"/>
      <c r="AL162" s="14"/>
      <c r="AM162" s="16"/>
      <c r="AN162" s="14"/>
      <c r="AO162" s="16"/>
      <c r="AP162" s="5" t="s">
        <v>2187</v>
      </c>
    </row>
    <row r="163" customFormat="false" ht="35.05" hidden="false" customHeight="false" outlineLevel="0" collapsed="false">
      <c r="A163" s="14" t="s">
        <v>2188</v>
      </c>
      <c r="B163" s="14" t="s">
        <v>2189</v>
      </c>
      <c r="C163" s="14" t="s">
        <v>1065</v>
      </c>
      <c r="D163" s="14" t="s">
        <v>1211</v>
      </c>
      <c r="E163" s="14" t="s">
        <v>750</v>
      </c>
      <c r="F163" s="14" t="s">
        <v>659</v>
      </c>
      <c r="G163" s="14" t="s">
        <v>82</v>
      </c>
      <c r="H163" s="14" t="s">
        <v>1551</v>
      </c>
      <c r="I163" s="14" t="n">
        <v>14</v>
      </c>
      <c r="J163" s="14" t="s">
        <v>2041</v>
      </c>
      <c r="K163" s="14" t="s">
        <v>2042</v>
      </c>
      <c r="L163" s="14" t="s">
        <v>2052</v>
      </c>
      <c r="M163" s="14"/>
      <c r="N163" s="14"/>
      <c r="O163" s="14"/>
      <c r="P163" s="14"/>
      <c r="Q163" s="14"/>
      <c r="R163" s="14"/>
      <c r="S163" s="14"/>
      <c r="T163" s="14"/>
      <c r="U163" s="14"/>
      <c r="V163" s="14"/>
      <c r="W163" s="14"/>
      <c r="X163" s="14"/>
      <c r="Y163" s="14"/>
      <c r="Z163" s="14"/>
      <c r="AA163" s="16"/>
      <c r="AB163" s="14"/>
      <c r="AC163" s="16"/>
      <c r="AD163" s="14" t="s">
        <v>685</v>
      </c>
      <c r="AE163" s="14"/>
      <c r="AF163" s="14"/>
      <c r="AG163" s="14"/>
      <c r="AH163" s="14"/>
      <c r="AI163" s="14"/>
      <c r="AJ163" s="14"/>
      <c r="AK163" s="14"/>
      <c r="AL163" s="14"/>
      <c r="AM163" s="16"/>
      <c r="AN163" s="14"/>
      <c r="AO163" s="16"/>
      <c r="AP163" s="5" t="s">
        <v>2190</v>
      </c>
    </row>
    <row r="164" customFormat="false" ht="23.85" hidden="false" customHeight="false" outlineLevel="0" collapsed="false">
      <c r="A164" s="14" t="s">
        <v>2191</v>
      </c>
      <c r="B164" s="14" t="s">
        <v>2192</v>
      </c>
      <c r="C164" s="14" t="s">
        <v>1065</v>
      </c>
      <c r="D164" s="14" t="s">
        <v>1211</v>
      </c>
      <c r="E164" s="14" t="s">
        <v>750</v>
      </c>
      <c r="F164" s="14" t="s">
        <v>659</v>
      </c>
      <c r="G164" s="14" t="s">
        <v>82</v>
      </c>
      <c r="H164" s="14" t="s">
        <v>1551</v>
      </c>
      <c r="I164" s="14" t="n">
        <v>14</v>
      </c>
      <c r="J164" s="14" t="s">
        <v>1212</v>
      </c>
      <c r="K164" s="14"/>
      <c r="L164" s="14"/>
      <c r="M164" s="14"/>
      <c r="N164" s="14"/>
      <c r="O164" s="14" t="s">
        <v>658</v>
      </c>
      <c r="P164" s="14" t="s">
        <v>658</v>
      </c>
      <c r="Q164" s="14"/>
      <c r="R164" s="14" t="s">
        <v>658</v>
      </c>
      <c r="S164" s="14" t="s">
        <v>659</v>
      </c>
      <c r="T164" s="14" t="s">
        <v>659</v>
      </c>
      <c r="U164" s="14" t="s">
        <v>658</v>
      </c>
      <c r="V164" s="14" t="s">
        <v>659</v>
      </c>
      <c r="W164" s="14" t="s">
        <v>659</v>
      </c>
      <c r="X164" s="14" t="s">
        <v>659</v>
      </c>
      <c r="Y164" s="14" t="s">
        <v>658</v>
      </c>
      <c r="Z164" s="14" t="s">
        <v>658</v>
      </c>
      <c r="AA164" s="16" t="n">
        <v>5</v>
      </c>
      <c r="AB164" s="14"/>
      <c r="AC164" s="16"/>
      <c r="AD164" s="14" t="s">
        <v>686</v>
      </c>
      <c r="AE164" s="14"/>
      <c r="AF164" s="14"/>
      <c r="AG164" s="14"/>
      <c r="AH164" s="14"/>
      <c r="AI164" s="14"/>
      <c r="AJ164" s="14"/>
      <c r="AK164" s="14"/>
      <c r="AL164" s="14"/>
      <c r="AM164" s="16"/>
      <c r="AN164" s="14"/>
      <c r="AO164" s="16"/>
      <c r="AP164" s="5" t="s">
        <v>2193</v>
      </c>
    </row>
    <row r="165" customFormat="false" ht="23.85" hidden="false" customHeight="false" outlineLevel="0" collapsed="false">
      <c r="A165" s="14" t="s">
        <v>2194</v>
      </c>
      <c r="B165" s="5" t="s">
        <v>2195</v>
      </c>
      <c r="C165" s="14" t="s">
        <v>1065</v>
      </c>
      <c r="D165" s="14" t="s">
        <v>1211</v>
      </c>
      <c r="E165" s="14" t="s">
        <v>751</v>
      </c>
      <c r="F165" s="14" t="s">
        <v>659</v>
      </c>
      <c r="G165" s="14" t="s">
        <v>82</v>
      </c>
      <c r="H165" s="14" t="s">
        <v>1551</v>
      </c>
      <c r="I165" s="14" t="n">
        <v>14</v>
      </c>
      <c r="J165" s="14"/>
      <c r="K165" s="14"/>
      <c r="L165" s="14" t="s">
        <v>2196</v>
      </c>
      <c r="M165" s="14" t="n">
        <v>171</v>
      </c>
      <c r="N165" s="14" t="s">
        <v>690</v>
      </c>
      <c r="O165" s="14" t="s">
        <v>658</v>
      </c>
      <c r="P165" s="14" t="s">
        <v>658</v>
      </c>
      <c r="Q165" s="14"/>
      <c r="R165" s="14"/>
      <c r="S165" s="14" t="s">
        <v>659</v>
      </c>
      <c r="T165" s="14"/>
      <c r="U165" s="14" t="s">
        <v>658</v>
      </c>
      <c r="V165" s="14"/>
      <c r="W165" s="14"/>
      <c r="X165" s="14"/>
      <c r="Y165" s="14"/>
      <c r="Z165" s="14"/>
      <c r="AA165" s="16" t="n">
        <v>3.8</v>
      </c>
      <c r="AB165" s="14"/>
      <c r="AC165" s="16"/>
      <c r="AD165" s="14"/>
      <c r="AE165" s="14"/>
      <c r="AF165" s="14"/>
      <c r="AG165" s="14"/>
      <c r="AH165" s="14"/>
      <c r="AI165" s="14"/>
      <c r="AJ165" s="14" t="s">
        <v>695</v>
      </c>
      <c r="AK165" s="14" t="s">
        <v>2197</v>
      </c>
      <c r="AL165" s="14" t="n">
        <v>1</v>
      </c>
      <c r="AM165" s="16" t="n">
        <v>3.8</v>
      </c>
      <c r="AN165" s="14"/>
      <c r="AO165" s="16"/>
      <c r="AP165" s="14"/>
    </row>
    <row r="166" customFormat="false" ht="23.85" hidden="false" customHeight="false" outlineLevel="0" collapsed="false">
      <c r="A166" s="14" t="s">
        <v>2198</v>
      </c>
      <c r="B166" s="5" t="s">
        <v>2199</v>
      </c>
      <c r="C166" s="14" t="s">
        <v>1065</v>
      </c>
      <c r="D166" s="14" t="s">
        <v>1211</v>
      </c>
      <c r="E166" s="14" t="s">
        <v>751</v>
      </c>
      <c r="F166" s="14" t="s">
        <v>659</v>
      </c>
      <c r="G166" s="14" t="s">
        <v>82</v>
      </c>
      <c r="H166" s="14" t="s">
        <v>1551</v>
      </c>
      <c r="I166" s="14" t="n">
        <v>14</v>
      </c>
      <c r="J166" s="14"/>
      <c r="K166" s="14"/>
      <c r="L166" s="14" t="s">
        <v>2200</v>
      </c>
      <c r="M166" s="14" t="n">
        <v>171</v>
      </c>
      <c r="N166" s="14" t="n">
        <v>3</v>
      </c>
      <c r="O166" s="14" t="s">
        <v>658</v>
      </c>
      <c r="P166" s="14" t="s">
        <v>658</v>
      </c>
      <c r="Q166" s="14"/>
      <c r="R166" s="14"/>
      <c r="S166" s="14" t="s">
        <v>659</v>
      </c>
      <c r="T166" s="14"/>
      <c r="U166" s="14" t="s">
        <v>659</v>
      </c>
      <c r="V166" s="14"/>
      <c r="W166" s="14"/>
      <c r="X166" s="14"/>
      <c r="Y166" s="14"/>
      <c r="Z166" s="14"/>
      <c r="AA166" s="16" t="n">
        <v>3.8</v>
      </c>
      <c r="AB166" s="14"/>
      <c r="AC166" s="16"/>
      <c r="AD166" s="14"/>
      <c r="AE166" s="14"/>
      <c r="AF166" s="14"/>
      <c r="AG166" s="14"/>
      <c r="AH166" s="14"/>
      <c r="AI166" s="14"/>
      <c r="AJ166" s="14" t="s">
        <v>701</v>
      </c>
      <c r="AK166" s="14" t="s">
        <v>2201</v>
      </c>
      <c r="AL166" s="14"/>
      <c r="AM166" s="16"/>
      <c r="AN166" s="14"/>
      <c r="AO166" s="16"/>
      <c r="AP166" s="14"/>
    </row>
    <row r="167" customFormat="false" ht="23.85" hidden="false" customHeight="false" outlineLevel="0" collapsed="false">
      <c r="A167" s="14" t="s">
        <v>2202</v>
      </c>
      <c r="B167" s="5" t="s">
        <v>2203</v>
      </c>
      <c r="C167" s="14" t="s">
        <v>1065</v>
      </c>
      <c r="D167" s="14" t="s">
        <v>1211</v>
      </c>
      <c r="E167" s="14" t="s">
        <v>751</v>
      </c>
      <c r="F167" s="14" t="s">
        <v>659</v>
      </c>
      <c r="G167" s="14" t="s">
        <v>82</v>
      </c>
      <c r="H167" s="14" t="s">
        <v>1551</v>
      </c>
      <c r="I167" s="14" t="n">
        <v>14</v>
      </c>
      <c r="J167" s="14"/>
      <c r="K167" s="14"/>
      <c r="L167" s="14" t="s">
        <v>2204</v>
      </c>
      <c r="M167" s="14" t="n">
        <v>171</v>
      </c>
      <c r="N167" s="14" t="n">
        <v>3</v>
      </c>
      <c r="O167" s="14" t="s">
        <v>658</v>
      </c>
      <c r="P167" s="14" t="s">
        <v>658</v>
      </c>
      <c r="Q167" s="14"/>
      <c r="R167" s="14"/>
      <c r="S167" s="14" t="s">
        <v>659</v>
      </c>
      <c r="T167" s="14"/>
      <c r="U167" s="14" t="s">
        <v>659</v>
      </c>
      <c r="V167" s="14"/>
      <c r="W167" s="14"/>
      <c r="X167" s="14"/>
      <c r="Y167" s="14"/>
      <c r="Z167" s="14"/>
      <c r="AA167" s="16" t="n">
        <v>3.8</v>
      </c>
      <c r="AB167" s="14"/>
      <c r="AC167" s="16"/>
      <c r="AD167" s="14"/>
      <c r="AE167" s="14"/>
      <c r="AF167" s="14"/>
      <c r="AG167" s="14"/>
      <c r="AH167" s="14"/>
      <c r="AI167" s="14"/>
      <c r="AJ167" s="14" t="s">
        <v>701</v>
      </c>
      <c r="AK167" s="14" t="s">
        <v>2205</v>
      </c>
      <c r="AL167" s="14"/>
      <c r="AM167" s="16"/>
      <c r="AN167" s="14"/>
      <c r="AO167" s="16"/>
      <c r="AP167" s="14"/>
    </row>
    <row r="168" customFormat="false" ht="23.85" hidden="false" customHeight="false" outlineLevel="0" collapsed="false">
      <c r="A168" s="14" t="s">
        <v>2206</v>
      </c>
      <c r="B168" s="5" t="s">
        <v>2207</v>
      </c>
      <c r="C168" s="14" t="s">
        <v>1065</v>
      </c>
      <c r="D168" s="14" t="s">
        <v>1211</v>
      </c>
      <c r="E168" s="14" t="s">
        <v>751</v>
      </c>
      <c r="F168" s="14" t="s">
        <v>659</v>
      </c>
      <c r="G168" s="14" t="s">
        <v>82</v>
      </c>
      <c r="H168" s="14" t="s">
        <v>1551</v>
      </c>
      <c r="I168" s="14" t="n">
        <v>14</v>
      </c>
      <c r="J168" s="14"/>
      <c r="K168" s="14"/>
      <c r="L168" s="14" t="s">
        <v>2208</v>
      </c>
      <c r="M168" s="14" t="n">
        <v>171</v>
      </c>
      <c r="N168" s="14" t="n">
        <v>2</v>
      </c>
      <c r="O168" s="14"/>
      <c r="P168" s="14"/>
      <c r="Q168" s="14"/>
      <c r="R168" s="14"/>
      <c r="S168" s="14" t="s">
        <v>659</v>
      </c>
      <c r="T168" s="14"/>
      <c r="U168" s="14"/>
      <c r="V168" s="14"/>
      <c r="W168" s="14"/>
      <c r="X168" s="14"/>
      <c r="Y168" s="14"/>
      <c r="Z168" s="14"/>
      <c r="AA168" s="16"/>
      <c r="AB168" s="14"/>
      <c r="AC168" s="16"/>
      <c r="AD168" s="14"/>
      <c r="AE168" s="14"/>
      <c r="AF168" s="14"/>
      <c r="AG168" s="14"/>
      <c r="AH168" s="14"/>
      <c r="AI168" s="14"/>
      <c r="AJ168" s="14" t="s">
        <v>698</v>
      </c>
      <c r="AK168" s="14" t="s">
        <v>2209</v>
      </c>
      <c r="AL168" s="14"/>
      <c r="AM168" s="16"/>
      <c r="AN168" s="14"/>
      <c r="AO168" s="16"/>
      <c r="AP168" s="14"/>
    </row>
    <row r="169" customFormat="false" ht="23.85" hidden="false" customHeight="false" outlineLevel="0" collapsed="false">
      <c r="A169" s="14" t="s">
        <v>2210</v>
      </c>
      <c r="B169" s="5" t="s">
        <v>2211</v>
      </c>
      <c r="C169" s="14" t="s">
        <v>1065</v>
      </c>
      <c r="D169" s="14" t="s">
        <v>1211</v>
      </c>
      <c r="E169" s="14" t="s">
        <v>751</v>
      </c>
      <c r="F169" s="14" t="s">
        <v>659</v>
      </c>
      <c r="G169" s="14" t="s">
        <v>82</v>
      </c>
      <c r="H169" s="14" t="s">
        <v>1551</v>
      </c>
      <c r="I169" s="14" t="n">
        <v>14</v>
      </c>
      <c r="J169" s="14"/>
      <c r="K169" s="14"/>
      <c r="L169" s="14" t="s">
        <v>2208</v>
      </c>
      <c r="M169" s="14" t="n">
        <v>171</v>
      </c>
      <c r="N169" s="14" t="n">
        <v>2</v>
      </c>
      <c r="O169" s="14" t="s">
        <v>658</v>
      </c>
      <c r="P169" s="14" t="s">
        <v>658</v>
      </c>
      <c r="Q169" s="14"/>
      <c r="R169" s="14"/>
      <c r="S169" s="14" t="s">
        <v>659</v>
      </c>
      <c r="T169" s="14"/>
      <c r="U169" s="14" t="s">
        <v>659</v>
      </c>
      <c r="V169" s="14"/>
      <c r="W169" s="14"/>
      <c r="X169" s="14"/>
      <c r="Y169" s="14"/>
      <c r="Z169" s="14"/>
      <c r="AA169" s="16" t="n">
        <v>3.8</v>
      </c>
      <c r="AB169" s="14"/>
      <c r="AC169" s="16"/>
      <c r="AD169" s="14"/>
      <c r="AE169" s="14"/>
      <c r="AF169" s="14"/>
      <c r="AG169" s="14"/>
      <c r="AH169" s="14"/>
      <c r="AI169" s="14"/>
      <c r="AJ169" s="14" t="s">
        <v>701</v>
      </c>
      <c r="AK169" s="14" t="s">
        <v>2212</v>
      </c>
      <c r="AL169" s="14"/>
      <c r="AM169" s="16"/>
      <c r="AN169" s="14"/>
      <c r="AO169" s="16"/>
      <c r="AP169" s="14"/>
    </row>
    <row r="170" customFormat="false" ht="23.85" hidden="false" customHeight="false" outlineLevel="0" collapsed="false">
      <c r="A170" s="14" t="s">
        <v>2213</v>
      </c>
      <c r="B170" s="5" t="s">
        <v>2214</v>
      </c>
      <c r="C170" s="14" t="s">
        <v>1065</v>
      </c>
      <c r="D170" s="14" t="s">
        <v>1211</v>
      </c>
      <c r="E170" s="14" t="s">
        <v>751</v>
      </c>
      <c r="F170" s="14" t="s">
        <v>659</v>
      </c>
      <c r="G170" s="14" t="s">
        <v>82</v>
      </c>
      <c r="H170" s="14" t="s">
        <v>1551</v>
      </c>
      <c r="I170" s="14" t="n">
        <v>14</v>
      </c>
      <c r="J170" s="14"/>
      <c r="K170" s="14"/>
      <c r="L170" s="14" t="s">
        <v>2215</v>
      </c>
      <c r="M170" s="14" t="n">
        <v>171</v>
      </c>
      <c r="N170" s="14" t="n">
        <v>1</v>
      </c>
      <c r="O170" s="14" t="s">
        <v>658</v>
      </c>
      <c r="P170" s="14"/>
      <c r="Q170" s="14"/>
      <c r="R170" s="14"/>
      <c r="S170" s="14" t="s">
        <v>659</v>
      </c>
      <c r="T170" s="14"/>
      <c r="U170" s="14" t="s">
        <v>658</v>
      </c>
      <c r="V170" s="14"/>
      <c r="W170" s="14"/>
      <c r="X170" s="14"/>
      <c r="Y170" s="14"/>
      <c r="Z170" s="14"/>
      <c r="AA170" s="16" t="n">
        <v>3.8</v>
      </c>
      <c r="AB170" s="14"/>
      <c r="AC170" s="16"/>
      <c r="AD170" s="14"/>
      <c r="AE170" s="14"/>
      <c r="AF170" s="14"/>
      <c r="AG170" s="14"/>
      <c r="AH170" s="14"/>
      <c r="AI170" s="14"/>
      <c r="AJ170" s="14" t="s">
        <v>695</v>
      </c>
      <c r="AK170" s="14" t="s">
        <v>2216</v>
      </c>
      <c r="AL170" s="14" t="n">
        <v>2</v>
      </c>
      <c r="AM170" s="16" t="n">
        <v>3.8</v>
      </c>
      <c r="AN170" s="14"/>
      <c r="AO170" s="16"/>
      <c r="AP170" s="14"/>
    </row>
    <row r="171" customFormat="false" ht="23.85" hidden="false" customHeight="false" outlineLevel="0" collapsed="false">
      <c r="A171" s="14" t="s">
        <v>2217</v>
      </c>
      <c r="B171" s="5" t="s">
        <v>2218</v>
      </c>
      <c r="C171" s="14" t="s">
        <v>1065</v>
      </c>
      <c r="D171" s="14" t="s">
        <v>1211</v>
      </c>
      <c r="E171" s="14" t="s">
        <v>751</v>
      </c>
      <c r="F171" s="14" t="s">
        <v>659</v>
      </c>
      <c r="G171" s="14" t="s">
        <v>82</v>
      </c>
      <c r="H171" s="14" t="s">
        <v>1551</v>
      </c>
      <c r="I171" s="14" t="n">
        <v>14</v>
      </c>
      <c r="J171" s="14"/>
      <c r="K171" s="14"/>
      <c r="L171" s="14" t="s">
        <v>2219</v>
      </c>
      <c r="M171" s="14" t="n">
        <v>171</v>
      </c>
      <c r="N171" s="14" t="n">
        <v>1</v>
      </c>
      <c r="O171" s="14" t="s">
        <v>658</v>
      </c>
      <c r="P171" s="14"/>
      <c r="Q171" s="14"/>
      <c r="R171" s="14"/>
      <c r="S171" s="14" t="s">
        <v>659</v>
      </c>
      <c r="T171" s="14"/>
      <c r="U171" s="14" t="s">
        <v>659</v>
      </c>
      <c r="V171" s="14"/>
      <c r="W171" s="14"/>
      <c r="X171" s="14"/>
      <c r="Y171" s="14"/>
      <c r="Z171" s="14"/>
      <c r="AA171" s="16" t="n">
        <v>4</v>
      </c>
      <c r="AB171" s="14"/>
      <c r="AC171" s="16"/>
      <c r="AD171" s="14"/>
      <c r="AE171" s="14"/>
      <c r="AF171" s="14"/>
      <c r="AG171" s="14"/>
      <c r="AH171" s="14"/>
      <c r="AI171" s="14"/>
      <c r="AJ171" s="14" t="s">
        <v>701</v>
      </c>
      <c r="AK171" s="14" t="s">
        <v>2220</v>
      </c>
      <c r="AL171" s="14"/>
      <c r="AM171" s="16"/>
      <c r="AN171" s="14"/>
      <c r="AO171" s="16"/>
      <c r="AP171" s="14"/>
    </row>
    <row r="172" customFormat="false" ht="35.05" hidden="false" customHeight="false" outlineLevel="0" collapsed="false">
      <c r="A172" s="14" t="s">
        <v>2221</v>
      </c>
      <c r="B172" s="5" t="s">
        <v>2222</v>
      </c>
      <c r="C172" s="14" t="s">
        <v>1065</v>
      </c>
      <c r="D172" s="14" t="s">
        <v>1211</v>
      </c>
      <c r="E172" s="14" t="s">
        <v>751</v>
      </c>
      <c r="F172" s="14" t="s">
        <v>659</v>
      </c>
      <c r="G172" s="14" t="s">
        <v>82</v>
      </c>
      <c r="H172" s="14" t="s">
        <v>1551</v>
      </c>
      <c r="I172" s="14" t="n">
        <v>14</v>
      </c>
      <c r="J172" s="14"/>
      <c r="K172" s="14"/>
      <c r="L172" s="5" t="s">
        <v>2223</v>
      </c>
      <c r="M172" s="14" t="n">
        <v>158</v>
      </c>
      <c r="N172" s="14" t="s">
        <v>2224</v>
      </c>
      <c r="O172" s="14"/>
      <c r="P172" s="14"/>
      <c r="Q172" s="14"/>
      <c r="R172" s="14"/>
      <c r="S172" s="14" t="s">
        <v>659</v>
      </c>
      <c r="T172" s="14"/>
      <c r="U172" s="14" t="s">
        <v>658</v>
      </c>
      <c r="V172" s="14"/>
      <c r="W172" s="14"/>
      <c r="X172" s="14"/>
      <c r="Y172" s="14"/>
      <c r="Z172" s="14"/>
      <c r="AA172" s="16"/>
      <c r="AB172" s="14"/>
      <c r="AC172" s="16"/>
      <c r="AD172" s="14"/>
      <c r="AE172" s="14"/>
      <c r="AF172" s="14"/>
      <c r="AG172" s="14"/>
      <c r="AH172" s="14"/>
      <c r="AI172" s="14"/>
      <c r="AJ172" s="14" t="s">
        <v>701</v>
      </c>
      <c r="AK172" s="14" t="s">
        <v>2225</v>
      </c>
      <c r="AL172" s="14" t="n">
        <v>1</v>
      </c>
      <c r="AM172" s="16" t="n">
        <v>4</v>
      </c>
      <c r="AN172" s="14"/>
      <c r="AO172" s="16"/>
      <c r="AP172" s="14"/>
    </row>
    <row r="173" customFormat="false" ht="35.05" hidden="false" customHeight="false" outlineLevel="0" collapsed="false">
      <c r="A173" s="14" t="s">
        <v>2226</v>
      </c>
      <c r="B173" s="5" t="s">
        <v>2227</v>
      </c>
      <c r="C173" s="14" t="s">
        <v>1065</v>
      </c>
      <c r="D173" s="14" t="s">
        <v>1211</v>
      </c>
      <c r="E173" s="14" t="s">
        <v>751</v>
      </c>
      <c r="F173" s="14" t="s">
        <v>659</v>
      </c>
      <c r="G173" s="14" t="s">
        <v>82</v>
      </c>
      <c r="H173" s="14" t="s">
        <v>1551</v>
      </c>
      <c r="I173" s="14" t="n">
        <v>14</v>
      </c>
      <c r="J173" s="14"/>
      <c r="K173" s="14"/>
      <c r="L173" s="5" t="s">
        <v>2223</v>
      </c>
      <c r="M173" s="14" t="n">
        <v>158</v>
      </c>
      <c r="N173" s="14" t="s">
        <v>2224</v>
      </c>
      <c r="O173" s="14" t="s">
        <v>658</v>
      </c>
      <c r="P173" s="14"/>
      <c r="Q173" s="14"/>
      <c r="R173" s="14"/>
      <c r="S173" s="14" t="s">
        <v>659</v>
      </c>
      <c r="T173" s="14"/>
      <c r="U173" s="14" t="s">
        <v>658</v>
      </c>
      <c r="V173" s="14"/>
      <c r="W173" s="14"/>
      <c r="X173" s="14"/>
      <c r="Y173" s="14"/>
      <c r="Z173" s="14"/>
      <c r="AA173" s="16" t="n">
        <v>3.8</v>
      </c>
      <c r="AB173" s="14"/>
      <c r="AC173" s="16"/>
      <c r="AD173" s="14"/>
      <c r="AE173" s="14"/>
      <c r="AF173" s="14"/>
      <c r="AG173" s="14"/>
      <c r="AH173" s="14"/>
      <c r="AI173" s="14"/>
      <c r="AJ173" s="14" t="s">
        <v>695</v>
      </c>
      <c r="AK173" s="14" t="s">
        <v>2228</v>
      </c>
      <c r="AL173" s="14" t="n">
        <v>1</v>
      </c>
      <c r="AM173" s="16" t="n">
        <v>3.8</v>
      </c>
      <c r="AN173" s="14"/>
      <c r="AO173" s="16"/>
      <c r="AP173" s="14"/>
    </row>
    <row r="174" customFormat="false" ht="23.85" hidden="false" customHeight="false" outlineLevel="0" collapsed="false">
      <c r="A174" s="14" t="s">
        <v>2229</v>
      </c>
      <c r="B174" s="5" t="s">
        <v>2230</v>
      </c>
      <c r="C174" s="14" t="s">
        <v>1065</v>
      </c>
      <c r="D174" s="14" t="s">
        <v>1211</v>
      </c>
      <c r="E174" s="14" t="s">
        <v>751</v>
      </c>
      <c r="F174" s="14" t="s">
        <v>659</v>
      </c>
      <c r="G174" s="14" t="s">
        <v>82</v>
      </c>
      <c r="H174" s="14" t="s">
        <v>1551</v>
      </c>
      <c r="I174" s="14" t="n">
        <v>14</v>
      </c>
      <c r="J174" s="14"/>
      <c r="K174" s="14"/>
      <c r="L174" s="14" t="s">
        <v>2231</v>
      </c>
      <c r="M174" s="14" t="n">
        <v>168</v>
      </c>
      <c r="N174" s="14" t="n">
        <v>3</v>
      </c>
      <c r="O174" s="14" t="s">
        <v>658</v>
      </c>
      <c r="P174" s="14"/>
      <c r="Q174" s="14"/>
      <c r="R174" s="14"/>
      <c r="S174" s="14" t="s">
        <v>659</v>
      </c>
      <c r="T174" s="14"/>
      <c r="U174" s="14" t="s">
        <v>658</v>
      </c>
      <c r="V174" s="14"/>
      <c r="W174" s="14"/>
      <c r="X174" s="14"/>
      <c r="Y174" s="14"/>
      <c r="Z174" s="14"/>
      <c r="AA174" s="16" t="n">
        <v>3.8</v>
      </c>
      <c r="AB174" s="14"/>
      <c r="AC174" s="16"/>
      <c r="AD174" s="14"/>
      <c r="AE174" s="14"/>
      <c r="AF174" s="14"/>
      <c r="AG174" s="14"/>
      <c r="AH174" s="14"/>
      <c r="AI174" s="14"/>
      <c r="AJ174" s="14" t="s">
        <v>695</v>
      </c>
      <c r="AK174" s="14" t="s">
        <v>2232</v>
      </c>
      <c r="AL174" s="14" t="n">
        <v>1</v>
      </c>
      <c r="AM174" s="16" t="n">
        <v>3.8</v>
      </c>
      <c r="AN174" s="14"/>
      <c r="AO174" s="16"/>
      <c r="AP174" s="14"/>
    </row>
    <row r="175" customFormat="false" ht="23.85" hidden="false" customHeight="false" outlineLevel="0" collapsed="false">
      <c r="A175" s="14" t="s">
        <v>2233</v>
      </c>
      <c r="B175" s="5" t="s">
        <v>2234</v>
      </c>
      <c r="C175" s="14" t="s">
        <v>1065</v>
      </c>
      <c r="D175" s="14" t="s">
        <v>1211</v>
      </c>
      <c r="E175" s="14" t="s">
        <v>751</v>
      </c>
      <c r="F175" s="14" t="s">
        <v>659</v>
      </c>
      <c r="G175" s="14" t="s">
        <v>82</v>
      </c>
      <c r="H175" s="14" t="s">
        <v>1551</v>
      </c>
      <c r="I175" s="14" t="n">
        <v>14</v>
      </c>
      <c r="J175" s="14"/>
      <c r="K175" s="14"/>
      <c r="L175" s="14" t="s">
        <v>2235</v>
      </c>
      <c r="M175" s="14" t="n">
        <v>168</v>
      </c>
      <c r="N175" s="14" t="n">
        <v>3</v>
      </c>
      <c r="O175" s="14"/>
      <c r="P175" s="14"/>
      <c r="Q175" s="14"/>
      <c r="R175" s="14"/>
      <c r="S175" s="14" t="s">
        <v>659</v>
      </c>
      <c r="T175" s="14"/>
      <c r="U175" s="14" t="s">
        <v>658</v>
      </c>
      <c r="V175" s="14"/>
      <c r="W175" s="14"/>
      <c r="X175" s="14"/>
      <c r="Y175" s="14"/>
      <c r="Z175" s="14"/>
      <c r="AA175" s="16"/>
      <c r="AB175" s="14"/>
      <c r="AC175" s="16"/>
      <c r="AD175" s="14"/>
      <c r="AE175" s="14"/>
      <c r="AF175" s="14"/>
      <c r="AG175" s="14"/>
      <c r="AH175" s="14"/>
      <c r="AI175" s="14"/>
      <c r="AJ175" s="14" t="s">
        <v>701</v>
      </c>
      <c r="AK175" s="14" t="s">
        <v>2236</v>
      </c>
      <c r="AL175" s="14" t="n">
        <v>1</v>
      </c>
      <c r="AM175" s="16" t="n">
        <v>3.8</v>
      </c>
      <c r="AN175" s="14"/>
      <c r="AO175" s="16"/>
      <c r="AP175" s="14"/>
    </row>
    <row r="176" customFormat="false" ht="23.85" hidden="false" customHeight="false" outlineLevel="0" collapsed="false">
      <c r="A176" s="14" t="s">
        <v>2237</v>
      </c>
      <c r="B176" s="5" t="s">
        <v>2238</v>
      </c>
      <c r="C176" s="14" t="s">
        <v>1065</v>
      </c>
      <c r="D176" s="14" t="s">
        <v>1211</v>
      </c>
      <c r="E176" s="14" t="s">
        <v>751</v>
      </c>
      <c r="F176" s="14" t="s">
        <v>659</v>
      </c>
      <c r="G176" s="14" t="s">
        <v>82</v>
      </c>
      <c r="H176" s="14" t="s">
        <v>1551</v>
      </c>
      <c r="I176" s="14" t="n">
        <v>14</v>
      </c>
      <c r="J176" s="14"/>
      <c r="K176" s="14"/>
      <c r="L176" s="5" t="s">
        <v>2239</v>
      </c>
      <c r="M176" s="14" t="n">
        <v>168</v>
      </c>
      <c r="N176" s="14" t="n">
        <v>2</v>
      </c>
      <c r="O176" s="14" t="s">
        <v>658</v>
      </c>
      <c r="P176" s="14"/>
      <c r="Q176" s="14"/>
      <c r="R176" s="14"/>
      <c r="S176" s="14" t="s">
        <v>659</v>
      </c>
      <c r="T176" s="14"/>
      <c r="U176" s="14" t="s">
        <v>659</v>
      </c>
      <c r="V176" s="14"/>
      <c r="W176" s="14"/>
      <c r="X176" s="14"/>
      <c r="Y176" s="14"/>
      <c r="Z176" s="14"/>
      <c r="AA176" s="16" t="n">
        <v>3.8</v>
      </c>
      <c r="AB176" s="14"/>
      <c r="AC176" s="16"/>
      <c r="AD176" s="14"/>
      <c r="AE176" s="14"/>
      <c r="AF176" s="14"/>
      <c r="AG176" s="14"/>
      <c r="AH176" s="14"/>
      <c r="AI176" s="14"/>
      <c r="AJ176" s="14" t="s">
        <v>701</v>
      </c>
      <c r="AK176" s="14" t="s">
        <v>2240</v>
      </c>
      <c r="AL176" s="14"/>
      <c r="AM176" s="16"/>
      <c r="AN176" s="14"/>
      <c r="AO176" s="16"/>
      <c r="AP176" s="14"/>
    </row>
    <row r="177" customFormat="false" ht="23.85" hidden="false" customHeight="false" outlineLevel="0" collapsed="false">
      <c r="A177" s="14" t="s">
        <v>2241</v>
      </c>
      <c r="B177" s="5" t="s">
        <v>2242</v>
      </c>
      <c r="C177" s="14" t="s">
        <v>1065</v>
      </c>
      <c r="D177" s="14" t="s">
        <v>1211</v>
      </c>
      <c r="E177" s="14" t="s">
        <v>751</v>
      </c>
      <c r="F177" s="14" t="s">
        <v>659</v>
      </c>
      <c r="G177" s="14" t="s">
        <v>82</v>
      </c>
      <c r="H177" s="14" t="s">
        <v>1551</v>
      </c>
      <c r="I177" s="14" t="n">
        <v>14</v>
      </c>
      <c r="J177" s="14"/>
      <c r="K177" s="14"/>
      <c r="L177" s="14" t="s">
        <v>2243</v>
      </c>
      <c r="M177" s="14" t="n">
        <v>168</v>
      </c>
      <c r="N177" s="14" t="n">
        <v>1</v>
      </c>
      <c r="O177" s="14"/>
      <c r="P177" s="14"/>
      <c r="Q177" s="14"/>
      <c r="R177" s="14"/>
      <c r="S177" s="14" t="s">
        <v>659</v>
      </c>
      <c r="T177" s="14"/>
      <c r="U177" s="14" t="s">
        <v>658</v>
      </c>
      <c r="V177" s="14"/>
      <c r="W177" s="14"/>
      <c r="X177" s="14"/>
      <c r="Y177" s="14"/>
      <c r="Z177" s="14"/>
      <c r="AA177" s="16"/>
      <c r="AB177" s="14"/>
      <c r="AC177" s="16"/>
      <c r="AD177" s="14"/>
      <c r="AE177" s="14"/>
      <c r="AF177" s="14"/>
      <c r="AG177" s="14"/>
      <c r="AH177" s="14"/>
      <c r="AI177" s="14"/>
      <c r="AJ177" s="14" t="s">
        <v>701</v>
      </c>
      <c r="AK177" s="14" t="s">
        <v>2244</v>
      </c>
      <c r="AL177" s="14" t="n">
        <v>1</v>
      </c>
      <c r="AM177" s="16" t="n">
        <v>3.8</v>
      </c>
      <c r="AN177" s="14"/>
      <c r="AO177" s="16"/>
      <c r="AP177" s="14"/>
    </row>
    <row r="178" customFormat="false" ht="23.85" hidden="false" customHeight="false" outlineLevel="0" collapsed="false">
      <c r="A178" s="14" t="s">
        <v>2245</v>
      </c>
      <c r="B178" s="5" t="s">
        <v>2246</v>
      </c>
      <c r="C178" s="14" t="s">
        <v>1065</v>
      </c>
      <c r="D178" s="14" t="s">
        <v>1211</v>
      </c>
      <c r="E178" s="14" t="s">
        <v>751</v>
      </c>
      <c r="F178" s="14" t="s">
        <v>659</v>
      </c>
      <c r="G178" s="14" t="s">
        <v>82</v>
      </c>
      <c r="H178" s="14" t="s">
        <v>1551</v>
      </c>
      <c r="I178" s="14" t="n">
        <v>14</v>
      </c>
      <c r="J178" s="14"/>
      <c r="K178" s="14"/>
      <c r="L178" s="14" t="s">
        <v>2243</v>
      </c>
      <c r="M178" s="14" t="n">
        <v>168</v>
      </c>
      <c r="N178" s="14" t="n">
        <v>1</v>
      </c>
      <c r="O178" s="14" t="s">
        <v>658</v>
      </c>
      <c r="P178" s="14"/>
      <c r="Q178" s="14"/>
      <c r="R178" s="14"/>
      <c r="S178" s="14" t="s">
        <v>659</v>
      </c>
      <c r="T178" s="14"/>
      <c r="U178" s="14" t="s">
        <v>658</v>
      </c>
      <c r="V178" s="14"/>
      <c r="W178" s="14"/>
      <c r="X178" s="14"/>
      <c r="Y178" s="14"/>
      <c r="Z178" s="14"/>
      <c r="AA178" s="16" t="n">
        <v>3.8</v>
      </c>
      <c r="AB178" s="14"/>
      <c r="AC178" s="16"/>
      <c r="AD178" s="14"/>
      <c r="AE178" s="14"/>
      <c r="AF178" s="14"/>
      <c r="AG178" s="14"/>
      <c r="AH178" s="14"/>
      <c r="AI178" s="14"/>
      <c r="AJ178" s="14" t="s">
        <v>695</v>
      </c>
      <c r="AK178" s="14" t="s">
        <v>2247</v>
      </c>
      <c r="AL178" s="14" t="n">
        <v>1</v>
      </c>
      <c r="AM178" s="16" t="n">
        <v>3.8</v>
      </c>
      <c r="AN178" s="14"/>
      <c r="AO178" s="16"/>
      <c r="AP178" s="14"/>
    </row>
    <row r="179" customFormat="false" ht="23.85" hidden="false" customHeight="false" outlineLevel="0" collapsed="false">
      <c r="A179" s="14" t="s">
        <v>2248</v>
      </c>
      <c r="B179" s="5" t="s">
        <v>2249</v>
      </c>
      <c r="C179" s="14" t="s">
        <v>1065</v>
      </c>
      <c r="D179" s="14" t="s">
        <v>1211</v>
      </c>
      <c r="E179" s="14" t="s">
        <v>751</v>
      </c>
      <c r="F179" s="14" t="s">
        <v>659</v>
      </c>
      <c r="G179" s="14" t="s">
        <v>82</v>
      </c>
      <c r="H179" s="14" t="s">
        <v>1551</v>
      </c>
      <c r="I179" s="14" t="n">
        <v>14</v>
      </c>
      <c r="J179" s="14"/>
      <c r="K179" s="14"/>
      <c r="L179" s="14" t="s">
        <v>2250</v>
      </c>
      <c r="M179" s="14" t="n">
        <v>168</v>
      </c>
      <c r="N179" s="14" t="s">
        <v>2224</v>
      </c>
      <c r="O179" s="14"/>
      <c r="P179" s="14"/>
      <c r="Q179" s="14"/>
      <c r="R179" s="14"/>
      <c r="S179" s="14" t="s">
        <v>659</v>
      </c>
      <c r="T179" s="14"/>
      <c r="U179" s="14" t="s">
        <v>658</v>
      </c>
      <c r="V179" s="14"/>
      <c r="W179" s="14"/>
      <c r="X179" s="14"/>
      <c r="Y179" s="14"/>
      <c r="Z179" s="14"/>
      <c r="AA179" s="16"/>
      <c r="AB179" s="14"/>
      <c r="AC179" s="16"/>
      <c r="AD179" s="14"/>
      <c r="AE179" s="14"/>
      <c r="AF179" s="14"/>
      <c r="AG179" s="14"/>
      <c r="AH179" s="14"/>
      <c r="AI179" s="14"/>
      <c r="AJ179" s="14" t="s">
        <v>701</v>
      </c>
      <c r="AK179" s="14" t="s">
        <v>2251</v>
      </c>
      <c r="AL179" s="14" t="n">
        <v>1</v>
      </c>
      <c r="AM179" s="16" t="n">
        <v>4</v>
      </c>
      <c r="AN179" s="14"/>
      <c r="AO179" s="16"/>
      <c r="AP179" s="14"/>
    </row>
    <row r="180" customFormat="false" ht="23.85" hidden="false" customHeight="false" outlineLevel="0" collapsed="false">
      <c r="A180" s="14" t="s">
        <v>2252</v>
      </c>
      <c r="B180" s="5" t="s">
        <v>2253</v>
      </c>
      <c r="C180" s="14" t="s">
        <v>1065</v>
      </c>
      <c r="D180" s="14" t="s">
        <v>1211</v>
      </c>
      <c r="E180" s="14" t="s">
        <v>751</v>
      </c>
      <c r="F180" s="14" t="s">
        <v>659</v>
      </c>
      <c r="G180" s="14" t="s">
        <v>82</v>
      </c>
      <c r="H180" s="14" t="s">
        <v>1551</v>
      </c>
      <c r="I180" s="14" t="n">
        <v>14</v>
      </c>
      <c r="J180" s="14"/>
      <c r="K180" s="14"/>
      <c r="L180" s="14" t="s">
        <v>2250</v>
      </c>
      <c r="M180" s="14" t="n">
        <v>168</v>
      </c>
      <c r="N180" s="14" t="s">
        <v>2224</v>
      </c>
      <c r="O180" s="14" t="s">
        <v>658</v>
      </c>
      <c r="P180" s="14"/>
      <c r="Q180" s="14"/>
      <c r="R180" s="14"/>
      <c r="S180" s="14" t="s">
        <v>659</v>
      </c>
      <c r="T180" s="14"/>
      <c r="U180" s="14" t="s">
        <v>658</v>
      </c>
      <c r="V180" s="14"/>
      <c r="W180" s="14"/>
      <c r="X180" s="14"/>
      <c r="Y180" s="14"/>
      <c r="Z180" s="14"/>
      <c r="AA180" s="16" t="n">
        <v>3.8</v>
      </c>
      <c r="AB180" s="14"/>
      <c r="AC180" s="16"/>
      <c r="AD180" s="14"/>
      <c r="AE180" s="14"/>
      <c r="AF180" s="14"/>
      <c r="AG180" s="14"/>
      <c r="AH180" s="14"/>
      <c r="AI180" s="14"/>
      <c r="AJ180" s="14" t="s">
        <v>695</v>
      </c>
      <c r="AK180" s="14" t="s">
        <v>2254</v>
      </c>
      <c r="AL180" s="14" t="n">
        <v>1</v>
      </c>
      <c r="AM180" s="16" t="n">
        <v>3.8</v>
      </c>
      <c r="AN180" s="14"/>
      <c r="AO180" s="16"/>
      <c r="AP180" s="14"/>
    </row>
    <row r="181" customFormat="false" ht="23.85" hidden="false" customHeight="false" outlineLevel="0" collapsed="false">
      <c r="A181" s="14" t="s">
        <v>2255</v>
      </c>
      <c r="B181" s="5" t="s">
        <v>2256</v>
      </c>
      <c r="C181" s="14" t="s">
        <v>1065</v>
      </c>
      <c r="D181" s="14" t="s">
        <v>1211</v>
      </c>
      <c r="E181" s="14" t="s">
        <v>751</v>
      </c>
      <c r="F181" s="14" t="s">
        <v>659</v>
      </c>
      <c r="G181" s="14" t="s">
        <v>82</v>
      </c>
      <c r="H181" s="14" t="s">
        <v>1551</v>
      </c>
      <c r="I181" s="14" t="n">
        <v>14</v>
      </c>
      <c r="J181" s="14"/>
      <c r="K181" s="14"/>
      <c r="L181" s="14" t="s">
        <v>2257</v>
      </c>
      <c r="M181" s="14" t="n">
        <v>159</v>
      </c>
      <c r="N181" s="14" t="s">
        <v>2224</v>
      </c>
      <c r="O181" s="14" t="s">
        <v>658</v>
      </c>
      <c r="P181" s="14" t="s">
        <v>658</v>
      </c>
      <c r="Q181" s="14"/>
      <c r="R181" s="14"/>
      <c r="S181" s="14" t="s">
        <v>659</v>
      </c>
      <c r="T181" s="14"/>
      <c r="U181" s="14" t="s">
        <v>659</v>
      </c>
      <c r="V181" s="14"/>
      <c r="W181" s="14"/>
      <c r="X181" s="14"/>
      <c r="Y181" s="14"/>
      <c r="Z181" s="14"/>
      <c r="AA181" s="16" t="n">
        <v>3.8</v>
      </c>
      <c r="AB181" s="14"/>
      <c r="AC181" s="16"/>
      <c r="AD181" s="14"/>
      <c r="AE181" s="14"/>
      <c r="AF181" s="14"/>
      <c r="AG181" s="14"/>
      <c r="AH181" s="14"/>
      <c r="AI181" s="14"/>
      <c r="AJ181" s="14" t="s">
        <v>701</v>
      </c>
      <c r="AK181" s="14" t="s">
        <v>2258</v>
      </c>
      <c r="AL181" s="14"/>
      <c r="AM181" s="16"/>
      <c r="AN181" s="14"/>
      <c r="AO181" s="16"/>
      <c r="AP181" s="14"/>
    </row>
    <row r="182" customFormat="false" ht="23.85" hidden="false" customHeight="false" outlineLevel="0" collapsed="false">
      <c r="A182" s="14" t="s">
        <v>2259</v>
      </c>
      <c r="B182" s="5" t="s">
        <v>2260</v>
      </c>
      <c r="C182" s="14" t="s">
        <v>1065</v>
      </c>
      <c r="D182" s="14" t="s">
        <v>1211</v>
      </c>
      <c r="E182" s="14" t="s">
        <v>751</v>
      </c>
      <c r="F182" s="14" t="s">
        <v>659</v>
      </c>
      <c r="G182" s="14" t="s">
        <v>82</v>
      </c>
      <c r="H182" s="14" t="s">
        <v>1551</v>
      </c>
      <c r="I182" s="14" t="n">
        <v>14</v>
      </c>
      <c r="J182" s="14"/>
      <c r="K182" s="14"/>
      <c r="L182" s="14" t="s">
        <v>2257</v>
      </c>
      <c r="M182" s="14" t="n">
        <v>159</v>
      </c>
      <c r="N182" s="14" t="s">
        <v>2224</v>
      </c>
      <c r="O182" s="14" t="s">
        <v>658</v>
      </c>
      <c r="P182" s="14"/>
      <c r="Q182" s="14"/>
      <c r="R182" s="14"/>
      <c r="S182" s="14" t="s">
        <v>659</v>
      </c>
      <c r="T182" s="14"/>
      <c r="U182" s="14" t="s">
        <v>658</v>
      </c>
      <c r="V182" s="14"/>
      <c r="W182" s="14"/>
      <c r="X182" s="14"/>
      <c r="Y182" s="14"/>
      <c r="Z182" s="14"/>
      <c r="AA182" s="16" t="n">
        <v>3.8</v>
      </c>
      <c r="AB182" s="14"/>
      <c r="AC182" s="16"/>
      <c r="AD182" s="14"/>
      <c r="AE182" s="14"/>
      <c r="AF182" s="14"/>
      <c r="AG182" s="14"/>
      <c r="AH182" s="14"/>
      <c r="AI182" s="14"/>
      <c r="AJ182" s="14" t="s">
        <v>695</v>
      </c>
      <c r="AK182" s="14" t="s">
        <v>2261</v>
      </c>
      <c r="AL182" s="14" t="n">
        <v>1</v>
      </c>
      <c r="AM182" s="16" t="n">
        <v>3.8</v>
      </c>
      <c r="AN182" s="14"/>
      <c r="AO182" s="16"/>
      <c r="AP182" s="14"/>
    </row>
    <row r="183" customFormat="false" ht="23.85" hidden="false" customHeight="false" outlineLevel="0" collapsed="false">
      <c r="A183" s="14" t="s">
        <v>2262</v>
      </c>
      <c r="B183" s="5" t="s">
        <v>2263</v>
      </c>
      <c r="C183" s="14" t="s">
        <v>1065</v>
      </c>
      <c r="D183" s="14" t="s">
        <v>1211</v>
      </c>
      <c r="E183" s="14" t="s">
        <v>751</v>
      </c>
      <c r="F183" s="14" t="s">
        <v>659</v>
      </c>
      <c r="G183" s="14" t="s">
        <v>82</v>
      </c>
      <c r="H183" s="14" t="s">
        <v>1551</v>
      </c>
      <c r="I183" s="14" t="n">
        <v>14</v>
      </c>
      <c r="J183" s="14"/>
      <c r="K183" s="14"/>
      <c r="L183" s="14" t="s">
        <v>2257</v>
      </c>
      <c r="M183" s="14" t="n">
        <v>159</v>
      </c>
      <c r="N183" s="14" t="s">
        <v>2224</v>
      </c>
      <c r="O183" s="14"/>
      <c r="P183" s="14"/>
      <c r="Q183" s="14"/>
      <c r="R183" s="14"/>
      <c r="S183" s="14"/>
      <c r="T183" s="14"/>
      <c r="U183" s="14"/>
      <c r="V183" s="14"/>
      <c r="W183" s="14"/>
      <c r="X183" s="14"/>
      <c r="Y183" s="14"/>
      <c r="Z183" s="14"/>
      <c r="AA183" s="16"/>
      <c r="AB183" s="14"/>
      <c r="AC183" s="16"/>
      <c r="AD183" s="14"/>
      <c r="AE183" s="14"/>
      <c r="AF183" s="14"/>
      <c r="AG183" s="14"/>
      <c r="AH183" s="14"/>
      <c r="AI183" s="14"/>
      <c r="AJ183" s="14"/>
      <c r="AK183" s="14"/>
      <c r="AL183" s="14"/>
      <c r="AM183" s="16"/>
      <c r="AN183" s="14"/>
      <c r="AO183" s="16"/>
      <c r="AP183" s="14"/>
    </row>
    <row r="184" customFormat="false" ht="23.85" hidden="false" customHeight="false" outlineLevel="0" collapsed="false">
      <c r="A184" s="14" t="s">
        <v>2264</v>
      </c>
      <c r="B184" s="5" t="s">
        <v>2265</v>
      </c>
      <c r="C184" s="14" t="s">
        <v>1065</v>
      </c>
      <c r="D184" s="14" t="s">
        <v>1211</v>
      </c>
      <c r="E184" s="14" t="s">
        <v>751</v>
      </c>
      <c r="F184" s="14" t="s">
        <v>659</v>
      </c>
      <c r="G184" s="14" t="s">
        <v>82</v>
      </c>
      <c r="H184" s="14" t="s">
        <v>1551</v>
      </c>
      <c r="I184" s="14" t="n">
        <v>14</v>
      </c>
      <c r="J184" s="14"/>
      <c r="K184" s="14"/>
      <c r="L184" s="14" t="s">
        <v>2257</v>
      </c>
      <c r="M184" s="14" t="n">
        <v>159</v>
      </c>
      <c r="N184" s="14" t="s">
        <v>2224</v>
      </c>
      <c r="O184" s="14"/>
      <c r="P184" s="14"/>
      <c r="Q184" s="14"/>
      <c r="R184" s="14"/>
      <c r="S184" s="14"/>
      <c r="T184" s="14"/>
      <c r="U184" s="14"/>
      <c r="V184" s="14"/>
      <c r="W184" s="14"/>
      <c r="X184" s="14"/>
      <c r="Y184" s="14"/>
      <c r="Z184" s="14"/>
      <c r="AA184" s="16"/>
      <c r="AB184" s="14"/>
      <c r="AC184" s="16"/>
      <c r="AD184" s="14"/>
      <c r="AE184" s="14"/>
      <c r="AF184" s="14"/>
      <c r="AG184" s="14"/>
      <c r="AH184" s="14"/>
      <c r="AI184" s="14"/>
      <c r="AJ184" s="14"/>
      <c r="AK184" s="14"/>
      <c r="AL184" s="14"/>
      <c r="AM184" s="16"/>
      <c r="AN184" s="14"/>
      <c r="AO184" s="16"/>
      <c r="AP184" s="14"/>
    </row>
    <row r="185" customFormat="false" ht="23.85" hidden="false" customHeight="false" outlineLevel="0" collapsed="false">
      <c r="A185" s="14" t="s">
        <v>2266</v>
      </c>
      <c r="B185" s="5" t="s">
        <v>2267</v>
      </c>
      <c r="C185" s="14" t="s">
        <v>1065</v>
      </c>
      <c r="D185" s="14" t="s">
        <v>1211</v>
      </c>
      <c r="E185" s="14" t="s">
        <v>751</v>
      </c>
      <c r="F185" s="14" t="s">
        <v>659</v>
      </c>
      <c r="G185" s="14" t="s">
        <v>82</v>
      </c>
      <c r="H185" s="14" t="s">
        <v>1551</v>
      </c>
      <c r="I185" s="14" t="n">
        <v>14</v>
      </c>
      <c r="J185" s="14"/>
      <c r="K185" s="14"/>
      <c r="L185" s="5" t="s">
        <v>2268</v>
      </c>
      <c r="M185" s="14" t="n">
        <v>160</v>
      </c>
      <c r="N185" s="14" t="s">
        <v>2224</v>
      </c>
      <c r="O185" s="14" t="s">
        <v>658</v>
      </c>
      <c r="P185" s="14"/>
      <c r="Q185" s="14"/>
      <c r="R185" s="14"/>
      <c r="S185" s="14" t="s">
        <v>659</v>
      </c>
      <c r="T185" s="14"/>
      <c r="U185" s="14" t="s">
        <v>659</v>
      </c>
      <c r="V185" s="14"/>
      <c r="W185" s="14"/>
      <c r="X185" s="14"/>
      <c r="Y185" s="14"/>
      <c r="Z185" s="14"/>
      <c r="AA185" s="16" t="n">
        <v>3.8</v>
      </c>
      <c r="AB185" s="14"/>
      <c r="AC185" s="16"/>
      <c r="AD185" s="14"/>
      <c r="AE185" s="14"/>
      <c r="AF185" s="14"/>
      <c r="AG185" s="14"/>
      <c r="AH185" s="14"/>
      <c r="AI185" s="14"/>
      <c r="AJ185" s="14" t="s">
        <v>701</v>
      </c>
      <c r="AK185" s="14" t="s">
        <v>2269</v>
      </c>
      <c r="AL185" s="14"/>
      <c r="AM185" s="16"/>
      <c r="AN185" s="14"/>
      <c r="AO185" s="16"/>
      <c r="AP185" s="14"/>
    </row>
    <row r="186" customFormat="false" ht="35.05" hidden="false" customHeight="false" outlineLevel="0" collapsed="false">
      <c r="A186" s="14" t="s">
        <v>2270</v>
      </c>
      <c r="B186" s="5" t="s">
        <v>2271</v>
      </c>
      <c r="C186" s="14" t="s">
        <v>1065</v>
      </c>
      <c r="D186" s="14" t="s">
        <v>1211</v>
      </c>
      <c r="E186" s="14" t="s">
        <v>751</v>
      </c>
      <c r="F186" s="14" t="s">
        <v>659</v>
      </c>
      <c r="G186" s="14" t="s">
        <v>82</v>
      </c>
      <c r="H186" s="14" t="s">
        <v>1551</v>
      </c>
      <c r="I186" s="14" t="n">
        <v>14</v>
      </c>
      <c r="J186" s="14"/>
      <c r="K186" s="14"/>
      <c r="L186" s="14" t="s">
        <v>2272</v>
      </c>
      <c r="M186" s="14" t="n">
        <v>133</v>
      </c>
      <c r="N186" s="14" t="s">
        <v>690</v>
      </c>
      <c r="O186" s="14" t="s">
        <v>658</v>
      </c>
      <c r="P186" s="14"/>
      <c r="Q186" s="14"/>
      <c r="R186" s="14"/>
      <c r="S186" s="14" t="s">
        <v>659</v>
      </c>
      <c r="T186" s="14"/>
      <c r="U186" s="14" t="s">
        <v>658</v>
      </c>
      <c r="V186" s="14"/>
      <c r="W186" s="14"/>
      <c r="X186" s="14"/>
      <c r="Y186" s="14"/>
      <c r="Z186" s="14"/>
      <c r="AA186" s="16" t="n">
        <v>3.8</v>
      </c>
      <c r="AB186" s="14"/>
      <c r="AC186" s="16"/>
      <c r="AD186" s="14"/>
      <c r="AE186" s="14"/>
      <c r="AF186" s="14"/>
      <c r="AG186" s="14"/>
      <c r="AH186" s="14"/>
      <c r="AI186" s="14"/>
      <c r="AJ186" s="14" t="s">
        <v>695</v>
      </c>
      <c r="AK186" s="14" t="s">
        <v>2273</v>
      </c>
      <c r="AL186" s="14" t="n">
        <v>1</v>
      </c>
      <c r="AM186" s="16" t="n">
        <v>3.8</v>
      </c>
      <c r="AN186" s="14"/>
      <c r="AO186" s="16"/>
      <c r="AP186" s="14"/>
    </row>
    <row r="187" customFormat="false" ht="23.85" hidden="false" customHeight="false" outlineLevel="0" collapsed="false">
      <c r="A187" s="14" t="s">
        <v>2274</v>
      </c>
      <c r="B187" s="5" t="s">
        <v>2275</v>
      </c>
      <c r="C187" s="14" t="s">
        <v>1065</v>
      </c>
      <c r="D187" s="14" t="s">
        <v>1211</v>
      </c>
      <c r="E187" s="14" t="s">
        <v>751</v>
      </c>
      <c r="F187" s="14" t="s">
        <v>659</v>
      </c>
      <c r="G187" s="14" t="s">
        <v>82</v>
      </c>
      <c r="H187" s="14" t="s">
        <v>1551</v>
      </c>
      <c r="I187" s="14" t="n">
        <v>14</v>
      </c>
      <c r="J187" s="14"/>
      <c r="K187" s="14"/>
      <c r="L187" s="14" t="s">
        <v>2276</v>
      </c>
      <c r="M187" s="14" t="n">
        <v>200</v>
      </c>
      <c r="N187" s="14" t="n">
        <v>1</v>
      </c>
      <c r="O187" s="14"/>
      <c r="P187" s="14"/>
      <c r="Q187" s="14"/>
      <c r="R187" s="14"/>
      <c r="S187" s="14" t="s">
        <v>659</v>
      </c>
      <c r="T187" s="14"/>
      <c r="U187" s="14" t="s">
        <v>658</v>
      </c>
      <c r="V187" s="14"/>
      <c r="W187" s="14"/>
      <c r="X187" s="14"/>
      <c r="Y187" s="14"/>
      <c r="Z187" s="14"/>
      <c r="AA187" s="16"/>
      <c r="AB187" s="14"/>
      <c r="AC187" s="16"/>
      <c r="AD187" s="14"/>
      <c r="AE187" s="14"/>
      <c r="AF187" s="14"/>
      <c r="AG187" s="14"/>
      <c r="AH187" s="14"/>
      <c r="AI187" s="14"/>
      <c r="AJ187" s="14" t="s">
        <v>701</v>
      </c>
      <c r="AK187" s="14" t="s">
        <v>2277</v>
      </c>
      <c r="AL187" s="14" t="n">
        <v>1</v>
      </c>
      <c r="AM187" s="16" t="n">
        <v>4</v>
      </c>
      <c r="AN187" s="14"/>
      <c r="AO187" s="16"/>
      <c r="AP187" s="14"/>
    </row>
    <row r="188" customFormat="false" ht="23.85" hidden="false" customHeight="false" outlineLevel="0" collapsed="false">
      <c r="A188" s="14" t="s">
        <v>2278</v>
      </c>
      <c r="B188" s="5" t="s">
        <v>2279</v>
      </c>
      <c r="C188" s="14" t="s">
        <v>1065</v>
      </c>
      <c r="D188" s="14" t="s">
        <v>1211</v>
      </c>
      <c r="E188" s="14" t="s">
        <v>751</v>
      </c>
      <c r="F188" s="14" t="s">
        <v>659</v>
      </c>
      <c r="G188" s="14" t="s">
        <v>82</v>
      </c>
      <c r="H188" s="14" t="s">
        <v>1551</v>
      </c>
      <c r="I188" s="14" t="n">
        <v>14</v>
      </c>
      <c r="J188" s="14"/>
      <c r="K188" s="14"/>
      <c r="L188" s="14" t="s">
        <v>2276</v>
      </c>
      <c r="M188" s="14" t="n">
        <v>200</v>
      </c>
      <c r="N188" s="14" t="n">
        <v>1</v>
      </c>
      <c r="O188" s="14"/>
      <c r="P188" s="14"/>
      <c r="Q188" s="14"/>
      <c r="R188" s="14"/>
      <c r="S188" s="14" t="s">
        <v>659</v>
      </c>
      <c r="T188" s="14"/>
      <c r="U188" s="14" t="s">
        <v>658</v>
      </c>
      <c r="V188" s="14"/>
      <c r="W188" s="14"/>
      <c r="X188" s="14"/>
      <c r="Y188" s="14"/>
      <c r="Z188" s="14"/>
      <c r="AA188" s="16"/>
      <c r="AB188" s="14"/>
      <c r="AC188" s="16"/>
      <c r="AD188" s="14"/>
      <c r="AE188" s="14"/>
      <c r="AF188" s="14"/>
      <c r="AG188" s="14"/>
      <c r="AH188" s="14"/>
      <c r="AI188" s="14"/>
      <c r="AJ188" s="14" t="s">
        <v>695</v>
      </c>
      <c r="AK188" s="14" t="s">
        <v>2280</v>
      </c>
      <c r="AL188" s="14" t="n">
        <v>1</v>
      </c>
      <c r="AM188" s="16" t="n">
        <v>4</v>
      </c>
      <c r="AN188" s="14"/>
      <c r="AO188" s="16"/>
      <c r="AP188" s="14"/>
    </row>
    <row r="189" customFormat="false" ht="23.85" hidden="false" customHeight="false" outlineLevel="0" collapsed="false">
      <c r="A189" s="14" t="s">
        <v>2281</v>
      </c>
      <c r="B189" s="5" t="s">
        <v>2282</v>
      </c>
      <c r="C189" s="14" t="s">
        <v>1065</v>
      </c>
      <c r="D189" s="14" t="s">
        <v>1211</v>
      </c>
      <c r="E189" s="14" t="s">
        <v>751</v>
      </c>
      <c r="F189" s="14" t="s">
        <v>659</v>
      </c>
      <c r="G189" s="14" t="s">
        <v>82</v>
      </c>
      <c r="H189" s="14" t="s">
        <v>1551</v>
      </c>
      <c r="I189" s="14" t="n">
        <v>14</v>
      </c>
      <c r="J189" s="14"/>
      <c r="K189" s="14"/>
      <c r="L189" s="14" t="s">
        <v>2283</v>
      </c>
      <c r="M189" s="14" t="n">
        <v>192</v>
      </c>
      <c r="N189" s="14" t="n">
        <v>1</v>
      </c>
      <c r="O189" s="14"/>
      <c r="P189" s="14"/>
      <c r="Q189" s="14"/>
      <c r="R189" s="14"/>
      <c r="S189" s="14" t="s">
        <v>659</v>
      </c>
      <c r="T189" s="14"/>
      <c r="U189" s="14" t="s">
        <v>658</v>
      </c>
      <c r="V189" s="14"/>
      <c r="W189" s="14"/>
      <c r="X189" s="14"/>
      <c r="Y189" s="14"/>
      <c r="Z189" s="14"/>
      <c r="AA189" s="16"/>
      <c r="AB189" s="14"/>
      <c r="AC189" s="16"/>
      <c r="AD189" s="14"/>
      <c r="AE189" s="14"/>
      <c r="AF189" s="14"/>
      <c r="AG189" s="14"/>
      <c r="AH189" s="14"/>
      <c r="AI189" s="14"/>
      <c r="AJ189" s="14" t="s">
        <v>701</v>
      </c>
      <c r="AK189" s="14" t="s">
        <v>2284</v>
      </c>
      <c r="AL189" s="14" t="n">
        <v>1</v>
      </c>
      <c r="AM189" s="16" t="n">
        <v>4</v>
      </c>
      <c r="AN189" s="14"/>
      <c r="AO189" s="16"/>
      <c r="AP189" s="14"/>
    </row>
    <row r="190" customFormat="false" ht="23.85" hidden="false" customHeight="false" outlineLevel="0" collapsed="false">
      <c r="A190" s="14" t="s">
        <v>2285</v>
      </c>
      <c r="B190" s="5" t="s">
        <v>2286</v>
      </c>
      <c r="C190" s="14" t="s">
        <v>1065</v>
      </c>
      <c r="D190" s="14" t="s">
        <v>1211</v>
      </c>
      <c r="E190" s="14" t="s">
        <v>751</v>
      </c>
      <c r="F190" s="14" t="s">
        <v>659</v>
      </c>
      <c r="G190" s="14" t="s">
        <v>82</v>
      </c>
      <c r="H190" s="14" t="s">
        <v>1551</v>
      </c>
      <c r="I190" s="14" t="n">
        <v>14</v>
      </c>
      <c r="J190" s="14"/>
      <c r="K190" s="14"/>
      <c r="L190" s="14" t="s">
        <v>2287</v>
      </c>
      <c r="M190" s="14" t="n">
        <v>263</v>
      </c>
      <c r="N190" s="14" t="n">
        <v>4</v>
      </c>
      <c r="O190" s="14" t="s">
        <v>658</v>
      </c>
      <c r="P190" s="14"/>
      <c r="Q190" s="14"/>
      <c r="R190" s="14"/>
      <c r="S190" s="14" t="s">
        <v>659</v>
      </c>
      <c r="T190" s="14"/>
      <c r="U190" s="14" t="s">
        <v>659</v>
      </c>
      <c r="V190" s="14"/>
      <c r="W190" s="14"/>
      <c r="X190" s="14"/>
      <c r="Y190" s="14"/>
      <c r="Z190" s="14"/>
      <c r="AA190" s="16" t="n">
        <v>3.8</v>
      </c>
      <c r="AB190" s="14"/>
      <c r="AC190" s="16"/>
      <c r="AD190" s="14"/>
      <c r="AE190" s="14"/>
      <c r="AF190" s="14"/>
      <c r="AG190" s="14"/>
      <c r="AH190" s="14"/>
      <c r="AI190" s="14"/>
      <c r="AJ190" s="14" t="s">
        <v>701</v>
      </c>
      <c r="AK190" s="14" t="s">
        <v>2288</v>
      </c>
      <c r="AL190" s="14"/>
      <c r="AM190" s="16"/>
      <c r="AN190" s="14"/>
      <c r="AO190" s="16"/>
      <c r="AP190" s="14"/>
    </row>
    <row r="191" customFormat="false" ht="23.85" hidden="false" customHeight="false" outlineLevel="0" collapsed="false">
      <c r="A191" s="14" t="s">
        <v>2289</v>
      </c>
      <c r="B191" s="5" t="s">
        <v>2290</v>
      </c>
      <c r="C191" s="14" t="s">
        <v>1065</v>
      </c>
      <c r="D191" s="14" t="s">
        <v>1211</v>
      </c>
      <c r="E191" s="14" t="s">
        <v>751</v>
      </c>
      <c r="F191" s="14" t="s">
        <v>659</v>
      </c>
      <c r="G191" s="14" t="s">
        <v>82</v>
      </c>
      <c r="H191" s="14" t="s">
        <v>1551</v>
      </c>
      <c r="I191" s="14" t="n">
        <v>14</v>
      </c>
      <c r="J191" s="14"/>
      <c r="K191" s="14"/>
      <c r="L191" s="14" t="s">
        <v>2291</v>
      </c>
      <c r="M191" s="14" t="n">
        <v>110</v>
      </c>
      <c r="N191" s="14"/>
      <c r="O191" s="14"/>
      <c r="P191" s="14"/>
      <c r="Q191" s="14"/>
      <c r="R191" s="14"/>
      <c r="S191" s="14"/>
      <c r="T191" s="14"/>
      <c r="U191" s="14" t="s">
        <v>658</v>
      </c>
      <c r="V191" s="14"/>
      <c r="W191" s="14"/>
      <c r="X191" s="14"/>
      <c r="Y191" s="14"/>
      <c r="Z191" s="14"/>
      <c r="AA191" s="16"/>
      <c r="AB191" s="14"/>
      <c r="AC191" s="16"/>
      <c r="AD191" s="14"/>
      <c r="AE191" s="14"/>
      <c r="AF191" s="14"/>
      <c r="AG191" s="14"/>
      <c r="AH191" s="14"/>
      <c r="AI191" s="14"/>
      <c r="AJ191" s="14" t="s">
        <v>701</v>
      </c>
      <c r="AK191" s="14" t="s">
        <v>2292</v>
      </c>
      <c r="AL191" s="14" t="n">
        <v>1</v>
      </c>
      <c r="AM191" s="16" t="n">
        <v>3.8</v>
      </c>
      <c r="AN191" s="14"/>
      <c r="AO191" s="16"/>
      <c r="AP191" s="14"/>
    </row>
    <row r="192" customFormat="false" ht="23.85" hidden="false" customHeight="false" outlineLevel="0" collapsed="false">
      <c r="A192" s="14" t="s">
        <v>2293</v>
      </c>
      <c r="B192" s="5" t="s">
        <v>2294</v>
      </c>
      <c r="C192" s="14" t="s">
        <v>1065</v>
      </c>
      <c r="D192" s="14" t="s">
        <v>1211</v>
      </c>
      <c r="E192" s="14" t="s">
        <v>751</v>
      </c>
      <c r="F192" s="14" t="s">
        <v>659</v>
      </c>
      <c r="G192" s="14" t="s">
        <v>82</v>
      </c>
      <c r="H192" s="14" t="s">
        <v>1551</v>
      </c>
      <c r="I192" s="14" t="n">
        <v>14</v>
      </c>
      <c r="J192" s="14"/>
      <c r="K192" s="14"/>
      <c r="L192" s="14" t="s">
        <v>2291</v>
      </c>
      <c r="M192" s="14" t="n">
        <v>110</v>
      </c>
      <c r="N192" s="14"/>
      <c r="O192" s="14" t="s">
        <v>658</v>
      </c>
      <c r="P192" s="14"/>
      <c r="Q192" s="14"/>
      <c r="R192" s="14"/>
      <c r="S192" s="14" t="s">
        <v>659</v>
      </c>
      <c r="T192" s="14"/>
      <c r="U192" s="14" t="s">
        <v>658</v>
      </c>
      <c r="V192" s="14"/>
      <c r="W192" s="14"/>
      <c r="X192" s="14"/>
      <c r="Y192" s="14"/>
      <c r="Z192" s="14"/>
      <c r="AA192" s="16" t="n">
        <v>3.8</v>
      </c>
      <c r="AB192" s="14"/>
      <c r="AC192" s="16"/>
      <c r="AD192" s="14"/>
      <c r="AE192" s="14"/>
      <c r="AF192" s="14"/>
      <c r="AG192" s="14"/>
      <c r="AH192" s="14"/>
      <c r="AI192" s="14"/>
      <c r="AJ192" s="14" t="s">
        <v>695</v>
      </c>
      <c r="AK192" s="14" t="s">
        <v>2295</v>
      </c>
      <c r="AL192" s="14" t="n">
        <v>1</v>
      </c>
      <c r="AM192" s="16" t="n">
        <v>3.8</v>
      </c>
      <c r="AN192" s="14"/>
      <c r="AO192" s="16"/>
      <c r="AP192" s="14"/>
    </row>
    <row r="193" customFormat="false" ht="23.85" hidden="false" customHeight="false" outlineLevel="0" collapsed="false">
      <c r="A193" s="14" t="s">
        <v>2296</v>
      </c>
      <c r="B193" s="5" t="s">
        <v>2297</v>
      </c>
      <c r="C193" s="14" t="s">
        <v>1065</v>
      </c>
      <c r="D193" s="14" t="s">
        <v>1211</v>
      </c>
      <c r="E193" s="14" t="s">
        <v>751</v>
      </c>
      <c r="F193" s="14" t="s">
        <v>659</v>
      </c>
      <c r="G193" s="14" t="s">
        <v>82</v>
      </c>
      <c r="H193" s="14" t="s">
        <v>1551</v>
      </c>
      <c r="I193" s="14" t="n">
        <v>14</v>
      </c>
      <c r="J193" s="14"/>
      <c r="K193" s="14"/>
      <c r="L193" s="14" t="s">
        <v>2298</v>
      </c>
      <c r="M193" s="14" t="n">
        <v>105</v>
      </c>
      <c r="N193" s="14" t="s">
        <v>2224</v>
      </c>
      <c r="O193" s="14"/>
      <c r="P193" s="14"/>
      <c r="Q193" s="14"/>
      <c r="R193" s="14"/>
      <c r="S193" s="14" t="s">
        <v>659</v>
      </c>
      <c r="T193" s="14"/>
      <c r="U193" s="14" t="s">
        <v>658</v>
      </c>
      <c r="V193" s="14"/>
      <c r="W193" s="14"/>
      <c r="X193" s="14"/>
      <c r="Y193" s="14"/>
      <c r="Z193" s="14"/>
      <c r="AA193" s="16"/>
      <c r="AB193" s="14"/>
      <c r="AC193" s="16"/>
      <c r="AD193" s="14"/>
      <c r="AE193" s="14"/>
      <c r="AF193" s="14"/>
      <c r="AG193" s="14"/>
      <c r="AH193" s="14"/>
      <c r="AI193" s="14"/>
      <c r="AJ193" s="14" t="s">
        <v>701</v>
      </c>
      <c r="AK193" s="14" t="s">
        <v>2299</v>
      </c>
      <c r="AL193" s="14" t="n">
        <v>1</v>
      </c>
      <c r="AM193" s="16" t="n">
        <v>3.8</v>
      </c>
      <c r="AN193" s="14"/>
      <c r="AO193" s="16"/>
      <c r="AP193" s="14"/>
    </row>
    <row r="194" customFormat="false" ht="23.85" hidden="false" customHeight="false" outlineLevel="0" collapsed="false">
      <c r="A194" s="14" t="s">
        <v>2300</v>
      </c>
      <c r="B194" s="5" t="s">
        <v>2301</v>
      </c>
      <c r="C194" s="14" t="s">
        <v>1065</v>
      </c>
      <c r="D194" s="14" t="s">
        <v>1211</v>
      </c>
      <c r="E194" s="14" t="s">
        <v>751</v>
      </c>
      <c r="F194" s="14" t="s">
        <v>659</v>
      </c>
      <c r="G194" s="14" t="s">
        <v>82</v>
      </c>
      <c r="H194" s="14" t="s">
        <v>1551</v>
      </c>
      <c r="I194" s="14" t="n">
        <v>14</v>
      </c>
      <c r="J194" s="14"/>
      <c r="K194" s="14"/>
      <c r="L194" s="14" t="s">
        <v>2298</v>
      </c>
      <c r="M194" s="14" t="n">
        <v>105</v>
      </c>
      <c r="N194" s="14" t="s">
        <v>2224</v>
      </c>
      <c r="O194" s="14" t="s">
        <v>658</v>
      </c>
      <c r="P194" s="14"/>
      <c r="Q194" s="14"/>
      <c r="R194" s="14"/>
      <c r="S194" s="14" t="s">
        <v>659</v>
      </c>
      <c r="T194" s="14"/>
      <c r="U194" s="14" t="s">
        <v>658</v>
      </c>
      <c r="V194" s="14"/>
      <c r="W194" s="14"/>
      <c r="X194" s="14"/>
      <c r="Y194" s="14"/>
      <c r="Z194" s="14"/>
      <c r="AA194" s="16" t="n">
        <v>3.8</v>
      </c>
      <c r="AB194" s="14"/>
      <c r="AC194" s="16"/>
      <c r="AD194" s="14"/>
      <c r="AE194" s="14"/>
      <c r="AF194" s="14"/>
      <c r="AG194" s="14"/>
      <c r="AH194" s="14"/>
      <c r="AI194" s="14"/>
      <c r="AJ194" s="14" t="s">
        <v>695</v>
      </c>
      <c r="AK194" s="14" t="s">
        <v>2302</v>
      </c>
      <c r="AL194" s="14" t="n">
        <v>1</v>
      </c>
      <c r="AM194" s="16" t="n">
        <v>3.8</v>
      </c>
      <c r="AN194" s="14"/>
      <c r="AO194" s="16"/>
      <c r="AP194" s="14"/>
    </row>
    <row r="195" customFormat="false" ht="23.85" hidden="false" customHeight="false" outlineLevel="0" collapsed="false">
      <c r="A195" s="14" t="s">
        <v>2303</v>
      </c>
      <c r="B195" s="5" t="s">
        <v>2304</v>
      </c>
      <c r="C195" s="14" t="s">
        <v>1065</v>
      </c>
      <c r="D195" s="14" t="s">
        <v>1211</v>
      </c>
      <c r="E195" s="14" t="s">
        <v>751</v>
      </c>
      <c r="F195" s="14" t="s">
        <v>659</v>
      </c>
      <c r="G195" s="14" t="s">
        <v>82</v>
      </c>
      <c r="H195" s="14" t="s">
        <v>1551</v>
      </c>
      <c r="I195" s="14" t="n">
        <v>14</v>
      </c>
      <c r="J195" s="14"/>
      <c r="K195" s="14"/>
      <c r="L195" s="14" t="s">
        <v>2298</v>
      </c>
      <c r="M195" s="14" t="n">
        <v>105</v>
      </c>
      <c r="N195" s="14" t="s">
        <v>2224</v>
      </c>
      <c r="O195" s="14"/>
      <c r="P195" s="14"/>
      <c r="Q195" s="14"/>
      <c r="R195" s="14"/>
      <c r="S195" s="14" t="s">
        <v>659</v>
      </c>
      <c r="T195" s="14"/>
      <c r="U195" s="14" t="s">
        <v>658</v>
      </c>
      <c r="V195" s="14"/>
      <c r="W195" s="14"/>
      <c r="X195" s="14"/>
      <c r="Y195" s="14"/>
      <c r="Z195" s="14"/>
      <c r="AA195" s="16"/>
      <c r="AB195" s="14"/>
      <c r="AC195" s="16"/>
      <c r="AD195" s="14"/>
      <c r="AE195" s="14"/>
      <c r="AF195" s="14"/>
      <c r="AG195" s="14"/>
      <c r="AH195" s="14"/>
      <c r="AI195" s="14"/>
      <c r="AJ195" s="14" t="s">
        <v>695</v>
      </c>
      <c r="AK195" s="14" t="s">
        <v>2305</v>
      </c>
      <c r="AL195" s="14" t="n">
        <v>1</v>
      </c>
      <c r="AM195" s="16" t="n">
        <v>3.8</v>
      </c>
      <c r="AN195" s="14"/>
      <c r="AO195" s="16"/>
      <c r="AP195" s="14"/>
    </row>
    <row r="196" customFormat="false" ht="35.05" hidden="false" customHeight="false" outlineLevel="0" collapsed="false">
      <c r="A196" s="14" t="s">
        <v>2306</v>
      </c>
      <c r="B196" s="5" t="s">
        <v>2307</v>
      </c>
      <c r="C196" s="14" t="s">
        <v>1065</v>
      </c>
      <c r="D196" s="14" t="s">
        <v>1211</v>
      </c>
      <c r="E196" s="14" t="s">
        <v>751</v>
      </c>
      <c r="F196" s="14" t="s">
        <v>659</v>
      </c>
      <c r="G196" s="14" t="s">
        <v>82</v>
      </c>
      <c r="H196" s="14" t="s">
        <v>1551</v>
      </c>
      <c r="I196" s="14" t="n">
        <v>14</v>
      </c>
      <c r="J196" s="14"/>
      <c r="K196" s="14"/>
      <c r="L196" s="5" t="s">
        <v>2308</v>
      </c>
      <c r="M196" s="14"/>
      <c r="N196" s="14"/>
      <c r="O196" s="14"/>
      <c r="P196" s="14"/>
      <c r="Q196" s="14"/>
      <c r="R196" s="14"/>
      <c r="S196" s="14" t="s">
        <v>659</v>
      </c>
      <c r="T196" s="14"/>
      <c r="U196" s="14" t="s">
        <v>658</v>
      </c>
      <c r="V196" s="14"/>
      <c r="W196" s="14"/>
      <c r="X196" s="14"/>
      <c r="Y196" s="14"/>
      <c r="Z196" s="14"/>
      <c r="AA196" s="16"/>
      <c r="AB196" s="14"/>
      <c r="AC196" s="16"/>
      <c r="AD196" s="14"/>
      <c r="AE196" s="14"/>
      <c r="AF196" s="14"/>
      <c r="AG196" s="14"/>
      <c r="AH196" s="14"/>
      <c r="AI196" s="14"/>
      <c r="AJ196" s="14" t="s">
        <v>701</v>
      </c>
      <c r="AK196" s="14" t="s">
        <v>2309</v>
      </c>
      <c r="AL196" s="14" t="n">
        <v>1</v>
      </c>
      <c r="AM196" s="16" t="n">
        <v>3.8</v>
      </c>
      <c r="AN196" s="14"/>
      <c r="AO196" s="16"/>
      <c r="AP196" s="14"/>
    </row>
    <row r="197" customFormat="false" ht="35.05" hidden="false" customHeight="false" outlineLevel="0" collapsed="false">
      <c r="A197" s="14" t="s">
        <v>2310</v>
      </c>
      <c r="B197" s="5" t="s">
        <v>2311</v>
      </c>
      <c r="C197" s="14" t="s">
        <v>1065</v>
      </c>
      <c r="D197" s="14" t="s">
        <v>1211</v>
      </c>
      <c r="E197" s="14" t="s">
        <v>751</v>
      </c>
      <c r="F197" s="14" t="s">
        <v>659</v>
      </c>
      <c r="G197" s="14" t="s">
        <v>82</v>
      </c>
      <c r="H197" s="14" t="s">
        <v>1551</v>
      </c>
      <c r="I197" s="14" t="n">
        <v>14</v>
      </c>
      <c r="J197" s="14"/>
      <c r="K197" s="14"/>
      <c r="L197" s="5" t="s">
        <v>2308</v>
      </c>
      <c r="M197" s="14"/>
      <c r="N197" s="14"/>
      <c r="O197" s="14" t="s">
        <v>658</v>
      </c>
      <c r="P197" s="14"/>
      <c r="Q197" s="14"/>
      <c r="R197" s="14"/>
      <c r="S197" s="14" t="s">
        <v>659</v>
      </c>
      <c r="T197" s="14"/>
      <c r="U197" s="14" t="s">
        <v>658</v>
      </c>
      <c r="V197" s="14"/>
      <c r="W197" s="14"/>
      <c r="X197" s="14"/>
      <c r="Y197" s="14"/>
      <c r="Z197" s="14"/>
      <c r="AA197" s="16" t="n">
        <v>3.5</v>
      </c>
      <c r="AB197" s="14"/>
      <c r="AC197" s="16"/>
      <c r="AD197" s="14"/>
      <c r="AE197" s="14"/>
      <c r="AF197" s="14"/>
      <c r="AG197" s="14"/>
      <c r="AH197" s="14"/>
      <c r="AI197" s="14"/>
      <c r="AJ197" s="14" t="s">
        <v>695</v>
      </c>
      <c r="AK197" s="14" t="s">
        <v>2312</v>
      </c>
      <c r="AL197" s="14" t="n">
        <v>1</v>
      </c>
      <c r="AM197" s="16" t="n">
        <v>3.8</v>
      </c>
      <c r="AN197" s="14"/>
      <c r="AO197" s="16"/>
      <c r="AP197" s="14"/>
    </row>
    <row r="198" customFormat="false" ht="35.05" hidden="false" customHeight="false" outlineLevel="0" collapsed="false">
      <c r="A198" s="14" t="s">
        <v>2313</v>
      </c>
      <c r="B198" s="5" t="s">
        <v>2314</v>
      </c>
      <c r="C198" s="14" t="s">
        <v>1065</v>
      </c>
      <c r="D198" s="14" t="s">
        <v>1211</v>
      </c>
      <c r="E198" s="14" t="s">
        <v>751</v>
      </c>
      <c r="F198" s="14" t="s">
        <v>659</v>
      </c>
      <c r="G198" s="14" t="s">
        <v>82</v>
      </c>
      <c r="H198" s="14" t="s">
        <v>1551</v>
      </c>
      <c r="I198" s="14" t="n">
        <v>14</v>
      </c>
      <c r="J198" s="14"/>
      <c r="K198" s="14"/>
      <c r="L198" s="5" t="s">
        <v>2308</v>
      </c>
      <c r="M198" s="14"/>
      <c r="N198" s="14"/>
      <c r="O198" s="14" t="s">
        <v>658</v>
      </c>
      <c r="P198" s="14"/>
      <c r="Q198" s="14"/>
      <c r="R198" s="14"/>
      <c r="S198" s="14" t="s">
        <v>659</v>
      </c>
      <c r="T198" s="14"/>
      <c r="U198" s="14" t="s">
        <v>658</v>
      </c>
      <c r="V198" s="14"/>
      <c r="W198" s="14"/>
      <c r="X198" s="14"/>
      <c r="Y198" s="14"/>
      <c r="Z198" s="14"/>
      <c r="AA198" s="16" t="n">
        <v>3.5</v>
      </c>
      <c r="AB198" s="14"/>
      <c r="AC198" s="16"/>
      <c r="AD198" s="14"/>
      <c r="AE198" s="14"/>
      <c r="AF198" s="14"/>
      <c r="AG198" s="14"/>
      <c r="AH198" s="14"/>
      <c r="AI198" s="14"/>
      <c r="AJ198" s="14" t="s">
        <v>695</v>
      </c>
      <c r="AK198" s="14" t="s">
        <v>2315</v>
      </c>
      <c r="AL198" s="14" t="n">
        <v>1</v>
      </c>
      <c r="AM198" s="16" t="n">
        <v>3.8</v>
      </c>
      <c r="AN198" s="14"/>
      <c r="AO198" s="16"/>
      <c r="AP198" s="14"/>
    </row>
    <row r="199" customFormat="false" ht="15" hidden="false" customHeight="false" outlineLevel="0" collapsed="false">
      <c r="A199" s="14" t="s">
        <v>2316</v>
      </c>
      <c r="B199" s="14" t="s">
        <v>2317</v>
      </c>
      <c r="C199" s="14" t="s">
        <v>1065</v>
      </c>
      <c r="D199" s="14" t="s">
        <v>1211</v>
      </c>
      <c r="E199" s="14" t="s">
        <v>751</v>
      </c>
      <c r="F199" s="14" t="s">
        <v>659</v>
      </c>
      <c r="G199" s="14" t="s">
        <v>82</v>
      </c>
      <c r="H199" s="14" t="s">
        <v>1551</v>
      </c>
      <c r="I199" s="14" t="n">
        <v>14</v>
      </c>
      <c r="J199" s="14"/>
      <c r="K199" s="14"/>
      <c r="L199" s="14" t="s">
        <v>2318</v>
      </c>
      <c r="M199" s="14" t="n">
        <v>106</v>
      </c>
      <c r="N199" s="14"/>
      <c r="O199" s="14"/>
      <c r="P199" s="14"/>
      <c r="Q199" s="14"/>
      <c r="R199" s="14"/>
      <c r="S199" s="14" t="s">
        <v>659</v>
      </c>
      <c r="T199" s="14"/>
      <c r="U199" s="14"/>
      <c r="V199" s="14"/>
      <c r="W199" s="14"/>
      <c r="X199" s="14"/>
      <c r="Y199" s="14"/>
      <c r="Z199" s="14"/>
      <c r="AA199" s="16"/>
      <c r="AB199" s="14"/>
      <c r="AC199" s="16"/>
      <c r="AD199" s="14"/>
      <c r="AE199" s="14"/>
      <c r="AF199" s="14"/>
      <c r="AG199" s="14"/>
      <c r="AH199" s="14"/>
      <c r="AI199" s="14"/>
      <c r="AJ199" s="14" t="s">
        <v>701</v>
      </c>
      <c r="AK199" s="14" t="s">
        <v>2319</v>
      </c>
      <c r="AL199" s="14"/>
      <c r="AM199" s="16"/>
      <c r="AN199" s="14"/>
      <c r="AO199" s="16"/>
      <c r="AP199" s="14"/>
    </row>
    <row r="200" customFormat="false" ht="15" hidden="false" customHeight="false" outlineLevel="0" collapsed="false">
      <c r="A200" s="14" t="s">
        <v>2320</v>
      </c>
      <c r="B200" s="14" t="s">
        <v>2321</v>
      </c>
      <c r="C200" s="14" t="s">
        <v>1065</v>
      </c>
      <c r="D200" s="14" t="s">
        <v>1211</v>
      </c>
      <c r="E200" s="14" t="s">
        <v>751</v>
      </c>
      <c r="F200" s="14" t="s">
        <v>659</v>
      </c>
      <c r="G200" s="14" t="s">
        <v>82</v>
      </c>
      <c r="H200" s="14" t="s">
        <v>1551</v>
      </c>
      <c r="I200" s="14" t="n">
        <v>14</v>
      </c>
      <c r="J200" s="14"/>
      <c r="K200" s="14"/>
      <c r="L200" s="14" t="s">
        <v>2318</v>
      </c>
      <c r="M200" s="14" t="n">
        <v>106</v>
      </c>
      <c r="N200" s="14"/>
      <c r="O200" s="14"/>
      <c r="P200" s="14"/>
      <c r="Q200" s="14"/>
      <c r="R200" s="14"/>
      <c r="S200" s="14" t="s">
        <v>659</v>
      </c>
      <c r="T200" s="14"/>
      <c r="U200" s="14"/>
      <c r="V200" s="14"/>
      <c r="W200" s="14"/>
      <c r="X200" s="14"/>
      <c r="Y200" s="14"/>
      <c r="Z200" s="14"/>
      <c r="AA200" s="16"/>
      <c r="AB200" s="14"/>
      <c r="AC200" s="16"/>
      <c r="AD200" s="14"/>
      <c r="AE200" s="14"/>
      <c r="AF200" s="14"/>
      <c r="AG200" s="14"/>
      <c r="AH200" s="14"/>
      <c r="AI200" s="14"/>
      <c r="AJ200" s="14" t="s">
        <v>701</v>
      </c>
      <c r="AK200" s="14" t="s">
        <v>2322</v>
      </c>
      <c r="AL200" s="14"/>
      <c r="AM200" s="16"/>
      <c r="AN200" s="14"/>
      <c r="AO200" s="16"/>
      <c r="AP200" s="14"/>
    </row>
    <row r="201" customFormat="false" ht="23.85" hidden="false" customHeight="false" outlineLevel="0" collapsed="false">
      <c r="A201" s="14" t="s">
        <v>2323</v>
      </c>
      <c r="B201" s="5" t="s">
        <v>2324</v>
      </c>
      <c r="C201" s="14" t="s">
        <v>1065</v>
      </c>
      <c r="D201" s="14" t="s">
        <v>1211</v>
      </c>
      <c r="E201" s="14" t="s">
        <v>751</v>
      </c>
      <c r="F201" s="14" t="s">
        <v>659</v>
      </c>
      <c r="G201" s="14" t="s">
        <v>82</v>
      </c>
      <c r="H201" s="14" t="s">
        <v>1551</v>
      </c>
      <c r="I201" s="14" t="n">
        <v>14</v>
      </c>
      <c r="J201" s="14"/>
      <c r="K201" s="14"/>
      <c r="L201" s="14" t="s">
        <v>2325</v>
      </c>
      <c r="M201" s="14" t="n">
        <v>106</v>
      </c>
      <c r="N201" s="14" t="s">
        <v>2326</v>
      </c>
      <c r="O201" s="14"/>
      <c r="P201" s="14"/>
      <c r="Q201" s="14"/>
      <c r="R201" s="14"/>
      <c r="S201" s="14" t="s">
        <v>659</v>
      </c>
      <c r="T201" s="14"/>
      <c r="U201" s="14" t="s">
        <v>658</v>
      </c>
      <c r="V201" s="14"/>
      <c r="W201" s="14"/>
      <c r="X201" s="14"/>
      <c r="Y201" s="14"/>
      <c r="Z201" s="14"/>
      <c r="AA201" s="16"/>
      <c r="AB201" s="14"/>
      <c r="AC201" s="16"/>
      <c r="AD201" s="14"/>
      <c r="AE201" s="14"/>
      <c r="AF201" s="14"/>
      <c r="AG201" s="14"/>
      <c r="AH201" s="14"/>
      <c r="AI201" s="14"/>
      <c r="AJ201" s="14" t="s">
        <v>701</v>
      </c>
      <c r="AK201" s="14" t="s">
        <v>2327</v>
      </c>
      <c r="AL201" s="14" t="n">
        <v>1</v>
      </c>
      <c r="AM201" s="16" t="n">
        <v>3.8</v>
      </c>
      <c r="AN201" s="14"/>
      <c r="AO201" s="16"/>
      <c r="AP201" s="14"/>
    </row>
    <row r="202" customFormat="false" ht="15" hidden="false" customHeight="false" outlineLevel="0" collapsed="false">
      <c r="A202" s="14" t="s">
        <v>2328</v>
      </c>
      <c r="B202" s="14" t="s">
        <v>2329</v>
      </c>
      <c r="C202" s="14" t="s">
        <v>1065</v>
      </c>
      <c r="D202" s="14" t="s">
        <v>1211</v>
      </c>
      <c r="E202" s="14" t="s">
        <v>751</v>
      </c>
      <c r="F202" s="14" t="s">
        <v>659</v>
      </c>
      <c r="G202" s="14" t="s">
        <v>82</v>
      </c>
      <c r="H202" s="14" t="s">
        <v>1551</v>
      </c>
      <c r="I202" s="14" t="n">
        <v>14</v>
      </c>
      <c r="J202" s="14"/>
      <c r="K202" s="14"/>
      <c r="L202" s="14" t="s">
        <v>2330</v>
      </c>
      <c r="M202" s="14" t="n">
        <v>202</v>
      </c>
      <c r="N202" s="14"/>
      <c r="O202" s="14"/>
      <c r="P202" s="14"/>
      <c r="Q202" s="14"/>
      <c r="R202" s="14"/>
      <c r="S202" s="14" t="s">
        <v>659</v>
      </c>
      <c r="T202" s="14"/>
      <c r="U202" s="14" t="s">
        <v>658</v>
      </c>
      <c r="V202" s="14"/>
      <c r="W202" s="14"/>
      <c r="X202" s="14"/>
      <c r="Y202" s="14"/>
      <c r="Z202" s="14"/>
      <c r="AA202" s="16"/>
      <c r="AB202" s="14"/>
      <c r="AC202" s="16"/>
      <c r="AD202" s="14"/>
      <c r="AE202" s="14"/>
      <c r="AF202" s="14"/>
      <c r="AG202" s="14"/>
      <c r="AH202" s="14"/>
      <c r="AI202" s="14"/>
      <c r="AJ202" s="14" t="s">
        <v>700</v>
      </c>
      <c r="AK202" s="14"/>
      <c r="AL202" s="14" t="n">
        <v>1</v>
      </c>
      <c r="AM202" s="16" t="n">
        <v>3.5</v>
      </c>
      <c r="AN202" s="14"/>
      <c r="AO202" s="16"/>
      <c r="AP202" s="14"/>
    </row>
    <row r="203" customFormat="false" ht="23.85" hidden="false" customHeight="false" outlineLevel="0" collapsed="false">
      <c r="A203" s="14" t="s">
        <v>2331</v>
      </c>
      <c r="B203" s="5" t="s">
        <v>2332</v>
      </c>
      <c r="C203" s="14" t="s">
        <v>1065</v>
      </c>
      <c r="D203" s="14" t="s">
        <v>1211</v>
      </c>
      <c r="E203" s="14" t="s">
        <v>751</v>
      </c>
      <c r="F203" s="14" t="s">
        <v>659</v>
      </c>
      <c r="G203" s="14" t="s">
        <v>82</v>
      </c>
      <c r="H203" s="14" t="s">
        <v>1551</v>
      </c>
      <c r="I203" s="14" t="n">
        <v>14</v>
      </c>
      <c r="J203" s="14"/>
      <c r="K203" s="14"/>
      <c r="L203" s="14" t="s">
        <v>2330</v>
      </c>
      <c r="M203" s="14" t="n">
        <v>202</v>
      </c>
      <c r="N203" s="14"/>
      <c r="O203" s="14" t="s">
        <v>658</v>
      </c>
      <c r="P203" s="14"/>
      <c r="Q203" s="14"/>
      <c r="R203" s="14"/>
      <c r="S203" s="14" t="s">
        <v>659</v>
      </c>
      <c r="T203" s="14"/>
      <c r="U203" s="14" t="s">
        <v>658</v>
      </c>
      <c r="V203" s="14"/>
      <c r="W203" s="14"/>
      <c r="X203" s="14"/>
      <c r="Y203" s="14"/>
      <c r="Z203" s="14"/>
      <c r="AA203" s="16" t="n">
        <v>3.7</v>
      </c>
      <c r="AB203" s="14"/>
      <c r="AC203" s="16"/>
      <c r="AD203" s="14"/>
      <c r="AE203" s="14"/>
      <c r="AF203" s="14"/>
      <c r="AG203" s="14"/>
      <c r="AH203" s="14"/>
      <c r="AI203" s="14"/>
      <c r="AJ203" s="14" t="s">
        <v>699</v>
      </c>
      <c r="AK203" s="14" t="s">
        <v>2333</v>
      </c>
      <c r="AL203" s="14" t="n">
        <v>1</v>
      </c>
      <c r="AM203" s="16" t="n">
        <v>3.7</v>
      </c>
      <c r="AN203" s="14"/>
      <c r="AO203" s="16"/>
      <c r="AP203" s="14"/>
    </row>
    <row r="204" customFormat="false" ht="23.85" hidden="false" customHeight="false" outlineLevel="0" collapsed="false">
      <c r="A204" s="14" t="s">
        <v>2334</v>
      </c>
      <c r="B204" s="5" t="s">
        <v>2335</v>
      </c>
      <c r="C204" s="14" t="s">
        <v>1065</v>
      </c>
      <c r="D204" s="14" t="s">
        <v>1211</v>
      </c>
      <c r="E204" s="14" t="s">
        <v>751</v>
      </c>
      <c r="F204" s="14" t="s">
        <v>659</v>
      </c>
      <c r="G204" s="14" t="s">
        <v>82</v>
      </c>
      <c r="H204" s="14" t="s">
        <v>1551</v>
      </c>
      <c r="I204" s="14" t="n">
        <v>14</v>
      </c>
      <c r="J204" s="14"/>
      <c r="K204" s="14"/>
      <c r="L204" s="14" t="s">
        <v>2336</v>
      </c>
      <c r="M204" s="14" t="n">
        <v>260</v>
      </c>
      <c r="N204" s="14" t="n">
        <v>1</v>
      </c>
      <c r="O204" s="14"/>
      <c r="P204" s="14"/>
      <c r="Q204" s="14"/>
      <c r="R204" s="14"/>
      <c r="S204" s="14" t="s">
        <v>659</v>
      </c>
      <c r="T204" s="14"/>
      <c r="U204" s="14"/>
      <c r="V204" s="14"/>
      <c r="W204" s="14"/>
      <c r="X204" s="14"/>
      <c r="Y204" s="14"/>
      <c r="Z204" s="14"/>
      <c r="AA204" s="16"/>
      <c r="AB204" s="14"/>
      <c r="AC204" s="16"/>
      <c r="AD204" s="14"/>
      <c r="AE204" s="14"/>
      <c r="AF204" s="14"/>
      <c r="AG204" s="14"/>
      <c r="AH204" s="14"/>
      <c r="AI204" s="14"/>
      <c r="AJ204" s="14" t="s">
        <v>701</v>
      </c>
      <c r="AK204" s="14" t="s">
        <v>2337</v>
      </c>
      <c r="AL204" s="14"/>
      <c r="AM204" s="16"/>
      <c r="AN204" s="14"/>
      <c r="AO204" s="16"/>
      <c r="AP204" s="14"/>
    </row>
    <row r="205" customFormat="false" ht="23.85" hidden="false" customHeight="false" outlineLevel="0" collapsed="false">
      <c r="A205" s="14" t="s">
        <v>2338</v>
      </c>
      <c r="B205" s="5" t="s">
        <v>2339</v>
      </c>
      <c r="C205" s="14" t="s">
        <v>1065</v>
      </c>
      <c r="D205" s="14" t="s">
        <v>1211</v>
      </c>
      <c r="E205" s="14" t="s">
        <v>751</v>
      </c>
      <c r="F205" s="14" t="s">
        <v>659</v>
      </c>
      <c r="G205" s="14" t="s">
        <v>82</v>
      </c>
      <c r="H205" s="14" t="s">
        <v>1551</v>
      </c>
      <c r="I205" s="14" t="n">
        <v>14</v>
      </c>
      <c r="J205" s="14"/>
      <c r="K205" s="14"/>
      <c r="L205" s="14" t="s">
        <v>2340</v>
      </c>
      <c r="M205" s="14" t="n">
        <v>260</v>
      </c>
      <c r="N205" s="14" t="n">
        <v>1</v>
      </c>
      <c r="O205" s="14" t="s">
        <v>658</v>
      </c>
      <c r="P205" s="14"/>
      <c r="Q205" s="14"/>
      <c r="R205" s="14"/>
      <c r="S205" s="14" t="s">
        <v>659</v>
      </c>
      <c r="T205" s="14"/>
      <c r="U205" s="14" t="s">
        <v>658</v>
      </c>
      <c r="V205" s="14"/>
      <c r="W205" s="14"/>
      <c r="X205" s="14"/>
      <c r="Y205" s="14"/>
      <c r="Z205" s="14"/>
      <c r="AA205" s="16" t="n">
        <v>3.8</v>
      </c>
      <c r="AB205" s="14"/>
      <c r="AC205" s="16"/>
      <c r="AD205" s="14"/>
      <c r="AE205" s="14"/>
      <c r="AF205" s="14"/>
      <c r="AG205" s="14"/>
      <c r="AH205" s="14"/>
      <c r="AI205" s="14"/>
      <c r="AJ205" s="14" t="s">
        <v>695</v>
      </c>
      <c r="AK205" s="14" t="s">
        <v>2341</v>
      </c>
      <c r="AL205" s="14"/>
      <c r="AM205" s="16"/>
      <c r="AN205" s="14"/>
      <c r="AO205" s="16"/>
      <c r="AP205" s="14"/>
    </row>
    <row r="206" customFormat="false" ht="23.85" hidden="false" customHeight="false" outlineLevel="0" collapsed="false">
      <c r="A206" s="14" t="s">
        <v>2342</v>
      </c>
      <c r="B206" s="5" t="s">
        <v>2343</v>
      </c>
      <c r="C206" s="14" t="s">
        <v>1065</v>
      </c>
      <c r="D206" s="14" t="s">
        <v>1211</v>
      </c>
      <c r="E206" s="14" t="s">
        <v>751</v>
      </c>
      <c r="F206" s="14" t="s">
        <v>659</v>
      </c>
      <c r="G206" s="14" t="s">
        <v>82</v>
      </c>
      <c r="H206" s="14" t="s">
        <v>1551</v>
      </c>
      <c r="I206" s="14" t="n">
        <v>14</v>
      </c>
      <c r="J206" s="14"/>
      <c r="K206" s="14"/>
      <c r="L206" s="14" t="s">
        <v>2344</v>
      </c>
      <c r="M206" s="14" t="n">
        <v>125</v>
      </c>
      <c r="N206" s="14" t="s">
        <v>2224</v>
      </c>
      <c r="O206" s="14"/>
      <c r="P206" s="14"/>
      <c r="Q206" s="14"/>
      <c r="R206" s="14"/>
      <c r="S206" s="14" t="s">
        <v>659</v>
      </c>
      <c r="T206" s="14"/>
      <c r="U206" s="14"/>
      <c r="V206" s="14"/>
      <c r="W206" s="14"/>
      <c r="X206" s="14"/>
      <c r="Y206" s="14"/>
      <c r="Z206" s="14"/>
      <c r="AA206" s="16"/>
      <c r="AB206" s="14"/>
      <c r="AC206" s="16"/>
      <c r="AD206" s="14"/>
      <c r="AE206" s="14"/>
      <c r="AF206" s="14"/>
      <c r="AG206" s="14"/>
      <c r="AH206" s="14"/>
      <c r="AI206" s="14"/>
      <c r="AJ206" s="14" t="s">
        <v>701</v>
      </c>
      <c r="AK206" s="14" t="s">
        <v>2345</v>
      </c>
      <c r="AL206" s="14"/>
      <c r="AM206" s="16"/>
      <c r="AN206" s="14"/>
      <c r="AO206" s="16"/>
      <c r="AP206" s="14"/>
    </row>
    <row r="207" customFormat="false" ht="23.85" hidden="false" customHeight="false" outlineLevel="0" collapsed="false">
      <c r="A207" s="14" t="s">
        <v>2346</v>
      </c>
      <c r="B207" s="5" t="s">
        <v>2347</v>
      </c>
      <c r="C207" s="14" t="s">
        <v>1065</v>
      </c>
      <c r="D207" s="14" t="s">
        <v>1211</v>
      </c>
      <c r="E207" s="14" t="s">
        <v>751</v>
      </c>
      <c r="F207" s="14" t="s">
        <v>659</v>
      </c>
      <c r="G207" s="14" t="s">
        <v>82</v>
      </c>
      <c r="H207" s="14" t="s">
        <v>1551</v>
      </c>
      <c r="I207" s="14" t="n">
        <v>14</v>
      </c>
      <c r="J207" s="14"/>
      <c r="K207" s="14"/>
      <c r="L207" s="14" t="s">
        <v>2348</v>
      </c>
      <c r="M207" s="14" t="n">
        <v>148</v>
      </c>
      <c r="N207" s="14" t="s">
        <v>690</v>
      </c>
      <c r="O207" s="14"/>
      <c r="P207" s="14"/>
      <c r="Q207" s="14"/>
      <c r="R207" s="14"/>
      <c r="S207" s="14"/>
      <c r="T207" s="14"/>
      <c r="U207" s="14"/>
      <c r="V207" s="14"/>
      <c r="W207" s="14"/>
      <c r="X207" s="14"/>
      <c r="Y207" s="14"/>
      <c r="Z207" s="14"/>
      <c r="AA207" s="16"/>
      <c r="AB207" s="14"/>
      <c r="AC207" s="16"/>
      <c r="AD207" s="14"/>
      <c r="AE207" s="14"/>
      <c r="AF207" s="14"/>
      <c r="AG207" s="14"/>
      <c r="AH207" s="14"/>
      <c r="AI207" s="14"/>
      <c r="AJ207" s="14" t="s">
        <v>701</v>
      </c>
      <c r="AK207" s="14" t="s">
        <v>2349</v>
      </c>
      <c r="AL207" s="14"/>
      <c r="AM207" s="16"/>
      <c r="AN207" s="14"/>
      <c r="AO207" s="16"/>
      <c r="AP207" s="14"/>
    </row>
    <row r="208" customFormat="false" ht="23.85" hidden="false" customHeight="false" outlineLevel="0" collapsed="false">
      <c r="A208" s="14" t="s">
        <v>2350</v>
      </c>
      <c r="B208" s="5" t="s">
        <v>2351</v>
      </c>
      <c r="C208" s="14" t="s">
        <v>1065</v>
      </c>
      <c r="D208" s="14" t="s">
        <v>1211</v>
      </c>
      <c r="E208" s="14" t="s">
        <v>751</v>
      </c>
      <c r="F208" s="14" t="s">
        <v>659</v>
      </c>
      <c r="G208" s="14" t="s">
        <v>82</v>
      </c>
      <c r="H208" s="14" t="s">
        <v>1551</v>
      </c>
      <c r="I208" s="14" t="n">
        <v>14</v>
      </c>
      <c r="J208" s="14"/>
      <c r="K208" s="14"/>
      <c r="L208" s="14" t="s">
        <v>2352</v>
      </c>
      <c r="M208" s="14" t="n">
        <v>101</v>
      </c>
      <c r="N208" s="14" t="s">
        <v>2224</v>
      </c>
      <c r="O208" s="14"/>
      <c r="P208" s="14"/>
      <c r="Q208" s="14"/>
      <c r="R208" s="14"/>
      <c r="S208" s="14"/>
      <c r="T208" s="14"/>
      <c r="U208" s="14"/>
      <c r="V208" s="14"/>
      <c r="W208" s="14"/>
      <c r="X208" s="14"/>
      <c r="Y208" s="14"/>
      <c r="Z208" s="14"/>
      <c r="AA208" s="16"/>
      <c r="AB208" s="14"/>
      <c r="AC208" s="16"/>
      <c r="AD208" s="14"/>
      <c r="AE208" s="14"/>
      <c r="AF208" s="14"/>
      <c r="AG208" s="14"/>
      <c r="AH208" s="14"/>
      <c r="AI208" s="14"/>
      <c r="AJ208" s="14" t="s">
        <v>695</v>
      </c>
      <c r="AK208" s="14" t="s">
        <v>2353</v>
      </c>
      <c r="AL208" s="14"/>
      <c r="AM208" s="16"/>
      <c r="AN208" s="14"/>
      <c r="AO208" s="16"/>
      <c r="AP208" s="14"/>
    </row>
    <row r="209" customFormat="false" ht="23.85" hidden="false" customHeight="false" outlineLevel="0" collapsed="false">
      <c r="A209" s="14" t="s">
        <v>2354</v>
      </c>
      <c r="B209" s="5" t="s">
        <v>2355</v>
      </c>
      <c r="C209" s="14" t="s">
        <v>1065</v>
      </c>
      <c r="D209" s="14" t="s">
        <v>1211</v>
      </c>
      <c r="E209" s="14" t="s">
        <v>751</v>
      </c>
      <c r="F209" s="14" t="s">
        <v>659</v>
      </c>
      <c r="G209" s="14" t="s">
        <v>82</v>
      </c>
      <c r="H209" s="14" t="s">
        <v>1551</v>
      </c>
      <c r="I209" s="14" t="n">
        <v>14</v>
      </c>
      <c r="J209" s="14"/>
      <c r="K209" s="14"/>
      <c r="L209" s="5" t="s">
        <v>2356</v>
      </c>
      <c r="M209" s="14" t="n">
        <v>103</v>
      </c>
      <c r="N209" s="14"/>
      <c r="O209" s="14"/>
      <c r="P209" s="14"/>
      <c r="Q209" s="14"/>
      <c r="R209" s="14"/>
      <c r="S209" s="14"/>
      <c r="T209" s="14"/>
      <c r="U209" s="14"/>
      <c r="V209" s="14"/>
      <c r="W209" s="14"/>
      <c r="X209" s="14"/>
      <c r="Y209" s="14"/>
      <c r="Z209" s="14"/>
      <c r="AA209" s="16"/>
      <c r="AB209" s="14"/>
      <c r="AC209" s="16"/>
      <c r="AD209" s="14"/>
      <c r="AE209" s="14"/>
      <c r="AF209" s="14"/>
      <c r="AG209" s="14"/>
      <c r="AH209" s="14"/>
      <c r="AI209" s="14"/>
      <c r="AJ209" s="14" t="s">
        <v>701</v>
      </c>
      <c r="AK209" s="14" t="s">
        <v>2357</v>
      </c>
      <c r="AL209" s="14"/>
      <c r="AM209" s="16"/>
      <c r="AN209" s="14"/>
      <c r="AO209" s="16"/>
      <c r="AP209" s="14"/>
    </row>
    <row r="210" customFormat="false" ht="35.05" hidden="false" customHeight="false" outlineLevel="0" collapsed="false">
      <c r="A210" s="14" t="s">
        <v>2358</v>
      </c>
      <c r="B210" s="5" t="s">
        <v>2359</v>
      </c>
      <c r="C210" s="14" t="s">
        <v>1065</v>
      </c>
      <c r="D210" s="14" t="s">
        <v>1211</v>
      </c>
      <c r="E210" s="14" t="s">
        <v>751</v>
      </c>
      <c r="F210" s="14" t="s">
        <v>659</v>
      </c>
      <c r="G210" s="14" t="s">
        <v>82</v>
      </c>
      <c r="H210" s="14" t="s">
        <v>1551</v>
      </c>
      <c r="I210" s="14" t="n">
        <v>14</v>
      </c>
      <c r="J210" s="14"/>
      <c r="K210" s="14"/>
      <c r="L210" s="5" t="s">
        <v>2356</v>
      </c>
      <c r="M210" s="14" t="n">
        <v>103</v>
      </c>
      <c r="N210" s="14"/>
      <c r="O210" s="14"/>
      <c r="P210" s="14"/>
      <c r="Q210" s="14"/>
      <c r="R210" s="14"/>
      <c r="S210" s="14"/>
      <c r="T210" s="14"/>
      <c r="U210" s="14"/>
      <c r="V210" s="14"/>
      <c r="W210" s="14"/>
      <c r="X210" s="14"/>
      <c r="Y210" s="14"/>
      <c r="Z210" s="14"/>
      <c r="AA210" s="16"/>
      <c r="AB210" s="14"/>
      <c r="AC210" s="16"/>
      <c r="AD210" s="14"/>
      <c r="AE210" s="14"/>
      <c r="AF210" s="14"/>
      <c r="AG210" s="14"/>
      <c r="AH210" s="14"/>
      <c r="AI210" s="14"/>
      <c r="AJ210" s="14" t="s">
        <v>695</v>
      </c>
      <c r="AK210" s="14" t="s">
        <v>2360</v>
      </c>
      <c r="AL210" s="14"/>
      <c r="AM210" s="16"/>
      <c r="AN210" s="14"/>
      <c r="AO210" s="16"/>
      <c r="AP210" s="14"/>
    </row>
    <row r="211" customFormat="false" ht="23.85" hidden="false" customHeight="false" outlineLevel="0" collapsed="false">
      <c r="A211" s="14" t="s">
        <v>2361</v>
      </c>
      <c r="B211" s="5" t="s">
        <v>2362</v>
      </c>
      <c r="C211" s="14" t="s">
        <v>1065</v>
      </c>
      <c r="D211" s="14" t="s">
        <v>1211</v>
      </c>
      <c r="E211" s="14" t="s">
        <v>751</v>
      </c>
      <c r="F211" s="14" t="s">
        <v>659</v>
      </c>
      <c r="G211" s="14" t="s">
        <v>82</v>
      </c>
      <c r="H211" s="14" t="s">
        <v>1551</v>
      </c>
      <c r="I211" s="14" t="n">
        <v>14</v>
      </c>
      <c r="J211" s="14"/>
      <c r="K211" s="14"/>
      <c r="L211" s="5" t="s">
        <v>2356</v>
      </c>
      <c r="M211" s="14" t="n">
        <v>103</v>
      </c>
      <c r="N211" s="14"/>
      <c r="O211" s="14"/>
      <c r="P211" s="14"/>
      <c r="Q211" s="14"/>
      <c r="R211" s="14"/>
      <c r="S211" s="14"/>
      <c r="T211" s="14"/>
      <c r="U211" s="14"/>
      <c r="V211" s="14"/>
      <c r="W211" s="14"/>
      <c r="X211" s="14"/>
      <c r="Y211" s="14"/>
      <c r="Z211" s="14"/>
      <c r="AA211" s="16"/>
      <c r="AB211" s="14"/>
      <c r="AC211" s="16"/>
      <c r="AD211" s="14"/>
      <c r="AE211" s="14"/>
      <c r="AF211" s="14"/>
      <c r="AG211" s="14"/>
      <c r="AH211" s="14"/>
      <c r="AI211" s="14"/>
      <c r="AJ211" s="14" t="s">
        <v>701</v>
      </c>
      <c r="AK211" s="14" t="s">
        <v>2363</v>
      </c>
      <c r="AL211" s="14"/>
      <c r="AM211" s="16"/>
      <c r="AN211" s="14"/>
      <c r="AO211" s="16"/>
      <c r="AP211" s="14"/>
    </row>
    <row r="212" customFormat="false" ht="35.05" hidden="false" customHeight="false" outlineLevel="0" collapsed="false">
      <c r="A212" s="14" t="s">
        <v>2364</v>
      </c>
      <c r="B212" s="5" t="s">
        <v>2365</v>
      </c>
      <c r="C212" s="14" t="s">
        <v>1065</v>
      </c>
      <c r="D212" s="14" t="s">
        <v>1211</v>
      </c>
      <c r="E212" s="14" t="s">
        <v>751</v>
      </c>
      <c r="F212" s="14" t="s">
        <v>659</v>
      </c>
      <c r="G212" s="14" t="s">
        <v>82</v>
      </c>
      <c r="H212" s="14" t="s">
        <v>1551</v>
      </c>
      <c r="I212" s="14" t="n">
        <v>14</v>
      </c>
      <c r="J212" s="14"/>
      <c r="K212" s="14"/>
      <c r="L212" s="5" t="s">
        <v>2366</v>
      </c>
      <c r="M212" s="14" t="n">
        <v>115</v>
      </c>
      <c r="N212" s="14"/>
      <c r="O212" s="14"/>
      <c r="P212" s="14"/>
      <c r="Q212" s="14"/>
      <c r="R212" s="14"/>
      <c r="S212" s="14"/>
      <c r="T212" s="14"/>
      <c r="U212" s="14"/>
      <c r="V212" s="14"/>
      <c r="W212" s="14"/>
      <c r="X212" s="14"/>
      <c r="Y212" s="14"/>
      <c r="Z212" s="14"/>
      <c r="AA212" s="16"/>
      <c r="AB212" s="14"/>
      <c r="AC212" s="16"/>
      <c r="AD212" s="14"/>
      <c r="AE212" s="14"/>
      <c r="AF212" s="14"/>
      <c r="AG212" s="14"/>
      <c r="AH212" s="14"/>
      <c r="AI212" s="14"/>
      <c r="AJ212" s="14" t="s">
        <v>701</v>
      </c>
      <c r="AK212" s="14" t="s">
        <v>2367</v>
      </c>
      <c r="AL212" s="14"/>
      <c r="AM212" s="16"/>
      <c r="AN212" s="14"/>
      <c r="AO212" s="16"/>
      <c r="AP212" s="14"/>
    </row>
    <row r="213" customFormat="false" ht="35.05" hidden="false" customHeight="false" outlineLevel="0" collapsed="false">
      <c r="A213" s="14" t="s">
        <v>2368</v>
      </c>
      <c r="B213" s="5" t="s">
        <v>2369</v>
      </c>
      <c r="C213" s="14" t="s">
        <v>1065</v>
      </c>
      <c r="D213" s="14" t="s">
        <v>1211</v>
      </c>
      <c r="E213" s="14" t="s">
        <v>751</v>
      </c>
      <c r="F213" s="14" t="s">
        <v>659</v>
      </c>
      <c r="G213" s="14" t="s">
        <v>82</v>
      </c>
      <c r="H213" s="14" t="s">
        <v>1551</v>
      </c>
      <c r="I213" s="14" t="n">
        <v>14</v>
      </c>
      <c r="J213" s="14"/>
      <c r="K213" s="14"/>
      <c r="L213" s="5" t="s">
        <v>2370</v>
      </c>
      <c r="M213" s="14" t="n">
        <v>177</v>
      </c>
      <c r="N213" s="14" t="s">
        <v>2224</v>
      </c>
      <c r="O213" s="14"/>
      <c r="P213" s="14"/>
      <c r="Q213" s="14"/>
      <c r="R213" s="14"/>
      <c r="S213" s="14"/>
      <c r="T213" s="14"/>
      <c r="U213" s="14"/>
      <c r="V213" s="14"/>
      <c r="W213" s="14"/>
      <c r="X213" s="14"/>
      <c r="Y213" s="14"/>
      <c r="Z213" s="14"/>
      <c r="AA213" s="16"/>
      <c r="AB213" s="14"/>
      <c r="AC213" s="16"/>
      <c r="AD213" s="14"/>
      <c r="AE213" s="14"/>
      <c r="AF213" s="14"/>
      <c r="AG213" s="14"/>
      <c r="AH213" s="14"/>
      <c r="AI213" s="14"/>
      <c r="AJ213" s="14" t="s">
        <v>695</v>
      </c>
      <c r="AK213" s="14" t="s">
        <v>2371</v>
      </c>
      <c r="AL213" s="14"/>
      <c r="AM213" s="16"/>
      <c r="AN213" s="14"/>
      <c r="AO213" s="16"/>
      <c r="AP213" s="14"/>
    </row>
    <row r="214" customFormat="false" ht="23.85" hidden="false" customHeight="false" outlineLevel="0" collapsed="false">
      <c r="A214" s="14" t="s">
        <v>2372</v>
      </c>
      <c r="B214" s="5" t="s">
        <v>2373</v>
      </c>
      <c r="C214" s="14" t="s">
        <v>1065</v>
      </c>
      <c r="D214" s="14" t="s">
        <v>1211</v>
      </c>
      <c r="E214" s="14" t="s">
        <v>751</v>
      </c>
      <c r="F214" s="14" t="s">
        <v>659</v>
      </c>
      <c r="G214" s="14" t="s">
        <v>82</v>
      </c>
      <c r="H214" s="14" t="s">
        <v>1551</v>
      </c>
      <c r="I214" s="14" t="n">
        <v>14</v>
      </c>
      <c r="J214" s="14"/>
      <c r="K214" s="14"/>
      <c r="L214" s="5" t="s">
        <v>2370</v>
      </c>
      <c r="M214" s="14"/>
      <c r="N214" s="14"/>
      <c r="O214" s="14"/>
      <c r="P214" s="14"/>
      <c r="Q214" s="14"/>
      <c r="R214" s="14"/>
      <c r="S214" s="14"/>
      <c r="T214" s="14"/>
      <c r="U214" s="14"/>
      <c r="V214" s="14"/>
      <c r="W214" s="14"/>
      <c r="X214" s="14"/>
      <c r="Y214" s="14"/>
      <c r="Z214" s="14"/>
      <c r="AA214" s="16"/>
      <c r="AB214" s="14"/>
      <c r="AC214" s="16"/>
      <c r="AD214" s="14"/>
      <c r="AE214" s="14"/>
      <c r="AF214" s="14"/>
      <c r="AG214" s="14"/>
      <c r="AH214" s="14"/>
      <c r="AI214" s="14"/>
      <c r="AJ214" s="14" t="s">
        <v>695</v>
      </c>
      <c r="AK214" s="14" t="s">
        <v>2374</v>
      </c>
      <c r="AL214" s="14"/>
      <c r="AM214" s="16"/>
      <c r="AN214" s="14"/>
      <c r="AO214" s="16"/>
      <c r="AP214" s="14"/>
    </row>
    <row r="215" customFormat="false" ht="35.05" hidden="false" customHeight="false" outlineLevel="0" collapsed="false">
      <c r="A215" s="14" t="s">
        <v>2375</v>
      </c>
      <c r="B215" s="5" t="s">
        <v>2376</v>
      </c>
      <c r="C215" s="14" t="s">
        <v>1065</v>
      </c>
      <c r="D215" s="14" t="s">
        <v>1211</v>
      </c>
      <c r="E215" s="14" t="s">
        <v>751</v>
      </c>
      <c r="F215" s="14" t="s">
        <v>659</v>
      </c>
      <c r="G215" s="14" t="s">
        <v>82</v>
      </c>
      <c r="H215" s="14" t="s">
        <v>1551</v>
      </c>
      <c r="I215" s="14" t="n">
        <v>14</v>
      </c>
      <c r="J215" s="14"/>
      <c r="K215" s="14"/>
      <c r="L215" s="5" t="s">
        <v>2377</v>
      </c>
      <c r="M215" s="14"/>
      <c r="N215" s="14"/>
      <c r="O215" s="14"/>
      <c r="P215" s="14"/>
      <c r="Q215" s="14"/>
      <c r="R215" s="14"/>
      <c r="S215" s="14"/>
      <c r="T215" s="14"/>
      <c r="U215" s="14"/>
      <c r="V215" s="14"/>
      <c r="W215" s="14"/>
      <c r="X215" s="14"/>
      <c r="Y215" s="14"/>
      <c r="Z215" s="14"/>
      <c r="AA215" s="16"/>
      <c r="AB215" s="14"/>
      <c r="AC215" s="16"/>
      <c r="AD215" s="14"/>
      <c r="AE215" s="14"/>
      <c r="AF215" s="14"/>
      <c r="AG215" s="14"/>
      <c r="AH215" s="14"/>
      <c r="AI215" s="14"/>
      <c r="AJ215" s="14" t="s">
        <v>695</v>
      </c>
      <c r="AK215" s="14" t="s">
        <v>2273</v>
      </c>
      <c r="AL215" s="14"/>
      <c r="AM215" s="16"/>
      <c r="AN215" s="14"/>
      <c r="AO215" s="16"/>
      <c r="AP215" s="14"/>
    </row>
    <row r="216" customFormat="false" ht="35.05" hidden="false" customHeight="false" outlineLevel="0" collapsed="false">
      <c r="A216" s="14" t="s">
        <v>2378</v>
      </c>
      <c r="B216" s="5" t="s">
        <v>2379</v>
      </c>
      <c r="C216" s="14" t="s">
        <v>1065</v>
      </c>
      <c r="D216" s="14" t="s">
        <v>1211</v>
      </c>
      <c r="E216" s="14" t="s">
        <v>751</v>
      </c>
      <c r="F216" s="14" t="s">
        <v>659</v>
      </c>
      <c r="G216" s="14" t="s">
        <v>82</v>
      </c>
      <c r="H216" s="14" t="s">
        <v>1551</v>
      </c>
      <c r="I216" s="14" t="n">
        <v>14</v>
      </c>
      <c r="J216" s="14"/>
      <c r="K216" s="14"/>
      <c r="L216" s="5" t="s">
        <v>2380</v>
      </c>
      <c r="M216" s="14" t="n">
        <v>173</v>
      </c>
      <c r="N216" s="14" t="n">
        <v>1</v>
      </c>
      <c r="O216" s="14" t="s">
        <v>658</v>
      </c>
      <c r="P216" s="14"/>
      <c r="Q216" s="14"/>
      <c r="R216" s="14"/>
      <c r="S216" s="14"/>
      <c r="T216" s="14"/>
      <c r="U216" s="14" t="s">
        <v>658</v>
      </c>
      <c r="V216" s="14"/>
      <c r="W216" s="14"/>
      <c r="X216" s="14"/>
      <c r="Y216" s="14"/>
      <c r="Z216" s="14"/>
      <c r="AA216" s="16" t="n">
        <v>3.8</v>
      </c>
      <c r="AB216" s="14"/>
      <c r="AC216" s="16"/>
      <c r="AD216" s="14"/>
      <c r="AE216" s="14"/>
      <c r="AF216" s="14"/>
      <c r="AG216" s="14"/>
      <c r="AH216" s="14"/>
      <c r="AI216" s="14"/>
      <c r="AJ216" s="14" t="s">
        <v>695</v>
      </c>
      <c r="AK216" s="14" t="s">
        <v>2381</v>
      </c>
      <c r="AL216" s="14" t="n">
        <v>1</v>
      </c>
      <c r="AM216" s="16" t="n">
        <v>3.8</v>
      </c>
      <c r="AN216" s="14"/>
      <c r="AO216" s="16"/>
      <c r="AP216" s="14"/>
    </row>
  </sheetData>
  <dataValidations count="1">
    <dataValidation allowBlank="false" errorStyle="stop" operator="between" showDropDown="false" showErrorMessage="false" showInputMessage="false" sqref="E2:E216" type="list">
      <formula1>"QSR,Vending,Student Bar,Convenience,NKA"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9"/>
    <col collapsed="false" customWidth="true" hidden="false" outlineLevel="0" max="3" min="3" style="0" width="13"/>
    <col collapsed="false" customWidth="true" hidden="false" outlineLevel="0" max="4" min="4" style="0" width="11"/>
    <col collapsed="false" customWidth="true" hidden="false" outlineLevel="0" max="5" min="5" style="0" width="10"/>
  </cols>
  <sheetData>
    <row r="1" customFormat="false" ht="15" hidden="false" customHeight="false" outlineLevel="0" collapsed="false">
      <c r="A1" s="13" t="s">
        <v>79</v>
      </c>
      <c r="B1" s="13" t="s">
        <v>312</v>
      </c>
      <c r="C1" s="13" t="s">
        <v>147</v>
      </c>
      <c r="D1" s="13" t="s">
        <v>167</v>
      </c>
      <c r="E1" s="13" t="s">
        <v>126</v>
      </c>
    </row>
    <row r="2" customFormat="false" ht="15" hidden="false" customHeight="false" outlineLevel="0" collapsed="false">
      <c r="A2" s="14" t="s">
        <v>2382</v>
      </c>
      <c r="B2" s="14" t="s">
        <v>1006</v>
      </c>
      <c r="C2" s="14" t="s">
        <v>1049</v>
      </c>
      <c r="D2" s="14" t="s">
        <v>1197</v>
      </c>
      <c r="E2" s="14" t="s">
        <v>82</v>
      </c>
    </row>
    <row r="3" customFormat="false" ht="15" hidden="false" customHeight="false" outlineLevel="0" collapsed="false">
      <c r="A3" s="14" t="s">
        <v>2383</v>
      </c>
      <c r="B3" s="14" t="s">
        <v>1006</v>
      </c>
      <c r="C3" s="14" t="s">
        <v>1049</v>
      </c>
      <c r="D3" s="14" t="s">
        <v>1195</v>
      </c>
      <c r="E3" s="14" t="s">
        <v>82</v>
      </c>
    </row>
    <row r="4" customFormat="false" ht="15" hidden="false" customHeight="false" outlineLevel="0" collapsed="false">
      <c r="A4" s="14" t="s">
        <v>2384</v>
      </c>
      <c r="B4" s="14" t="s">
        <v>1014</v>
      </c>
      <c r="C4" s="14" t="s">
        <v>1058</v>
      </c>
      <c r="D4" s="14" t="s">
        <v>2385</v>
      </c>
      <c r="E4" s="14" t="s">
        <v>82</v>
      </c>
    </row>
    <row r="5" customFormat="false" ht="15" hidden="false" customHeight="false" outlineLevel="0" collapsed="false">
      <c r="A5" s="14" t="s">
        <v>2386</v>
      </c>
      <c r="B5" s="14" t="s">
        <v>996</v>
      </c>
      <c r="C5" s="14" t="s">
        <v>1060</v>
      </c>
      <c r="D5" s="14" t="s">
        <v>2385</v>
      </c>
      <c r="E5" s="14" t="s">
        <v>82</v>
      </c>
    </row>
    <row r="6" customFormat="false" ht="15" hidden="false" customHeight="false" outlineLevel="0" collapsed="false">
      <c r="A6" s="14" t="s">
        <v>2387</v>
      </c>
      <c r="B6" s="14" t="s">
        <v>1009</v>
      </c>
      <c r="C6" s="14" t="s">
        <v>1062</v>
      </c>
      <c r="D6" s="14" t="s">
        <v>2385</v>
      </c>
      <c r="E6" s="14" t="s">
        <v>82</v>
      </c>
    </row>
    <row r="7" customFormat="false" ht="15" hidden="false" customHeight="false" outlineLevel="0" collapsed="false">
      <c r="A7" s="14" t="s">
        <v>2388</v>
      </c>
      <c r="B7" s="14" t="s">
        <v>1004</v>
      </c>
      <c r="C7" s="14" t="s">
        <v>1062</v>
      </c>
      <c r="D7" s="14" t="s">
        <v>2385</v>
      </c>
      <c r="E7" s="14" t="s">
        <v>82</v>
      </c>
    </row>
    <row r="8" customFormat="false" ht="15" hidden="false" customHeight="false" outlineLevel="0" collapsed="false">
      <c r="A8" s="14" t="s">
        <v>2389</v>
      </c>
      <c r="B8" s="14" t="s">
        <v>827</v>
      </c>
      <c r="C8" s="14" t="s">
        <v>1068</v>
      </c>
      <c r="D8" s="14" t="s">
        <v>2385</v>
      </c>
      <c r="E8" s="14" t="s">
        <v>82</v>
      </c>
    </row>
    <row r="9" customFormat="false" ht="15" hidden="false" customHeight="false" outlineLevel="0" collapsed="false">
      <c r="A9" s="14" t="s">
        <v>2390</v>
      </c>
      <c r="B9" s="14" t="s">
        <v>1012</v>
      </c>
      <c r="C9" s="14" t="s">
        <v>1068</v>
      </c>
      <c r="D9" s="14" t="s">
        <v>2385</v>
      </c>
      <c r="E9" s="14" t="s">
        <v>82</v>
      </c>
    </row>
    <row r="10" customFormat="false" ht="15" hidden="false" customHeight="false" outlineLevel="0" collapsed="false">
      <c r="A10" s="14" t="s">
        <v>2391</v>
      </c>
      <c r="B10" s="14" t="s">
        <v>998</v>
      </c>
      <c r="C10" s="14" t="s">
        <v>1065</v>
      </c>
      <c r="D10" s="14" t="s">
        <v>2385</v>
      </c>
      <c r="E10" s="14" t="s">
        <v>82</v>
      </c>
    </row>
    <row r="11" customFormat="false" ht="15" hidden="false" customHeight="false" outlineLevel="0" collapsed="false">
      <c r="A11" s="14" t="s">
        <v>2392</v>
      </c>
      <c r="B11" s="14" t="s">
        <v>1001</v>
      </c>
      <c r="C11" s="14" t="s">
        <v>1065</v>
      </c>
      <c r="D11" s="14" t="s">
        <v>2385</v>
      </c>
      <c r="E11" s="14" t="s">
        <v>82</v>
      </c>
    </row>
    <row r="12" customFormat="false" ht="15" hidden="false" customHeight="false" outlineLevel="0" collapsed="false">
      <c r="A12" s="14" t="s">
        <v>2393</v>
      </c>
      <c r="B12" s="14" t="s">
        <v>1006</v>
      </c>
      <c r="C12" s="14" t="s">
        <v>1052</v>
      </c>
      <c r="D12" s="14" t="s">
        <v>2385</v>
      </c>
      <c r="E12" s="14" t="s">
        <v>82</v>
      </c>
    </row>
    <row r="13" customFormat="false" ht="15" hidden="false" customHeight="false" outlineLevel="0" collapsed="false">
      <c r="A13" s="14" t="s">
        <v>2394</v>
      </c>
      <c r="B13" s="14" t="s">
        <v>1014</v>
      </c>
      <c r="C13" s="14" t="s">
        <v>1052</v>
      </c>
      <c r="D13" s="14" t="s">
        <v>2385</v>
      </c>
      <c r="E13" s="14" t="s">
        <v>82</v>
      </c>
    </row>
    <row r="14" customFormat="false" ht="15" hidden="false" customHeight="false" outlineLevel="0" collapsed="false">
      <c r="A14" s="14" t="s">
        <v>2395</v>
      </c>
      <c r="B14" s="14" t="s">
        <v>996</v>
      </c>
      <c r="C14" s="14" t="s">
        <v>1052</v>
      </c>
      <c r="D14" s="14" t="s">
        <v>2385</v>
      </c>
      <c r="E14" s="14" t="s">
        <v>82</v>
      </c>
    </row>
    <row r="15" customFormat="false" ht="15" hidden="false" customHeight="false" outlineLevel="0" collapsed="false">
      <c r="A15" s="14" t="s">
        <v>2396</v>
      </c>
      <c r="B15" s="14" t="s">
        <v>1009</v>
      </c>
      <c r="C15" s="14" t="s">
        <v>1052</v>
      </c>
      <c r="D15" s="14" t="s">
        <v>2385</v>
      </c>
      <c r="E15" s="14" t="s">
        <v>82</v>
      </c>
    </row>
    <row r="16" customFormat="false" ht="15" hidden="false" customHeight="false" outlineLevel="0" collapsed="false">
      <c r="A16" s="14" t="s">
        <v>2397</v>
      </c>
      <c r="B16" s="14" t="s">
        <v>1004</v>
      </c>
      <c r="C16" s="14" t="s">
        <v>1052</v>
      </c>
      <c r="D16" s="14" t="s">
        <v>2385</v>
      </c>
      <c r="E16" s="14" t="s">
        <v>82</v>
      </c>
    </row>
    <row r="17" customFormat="false" ht="15" hidden="false" customHeight="false" outlineLevel="0" collapsed="false">
      <c r="A17" s="14" t="s">
        <v>2398</v>
      </c>
      <c r="B17" s="14" t="s">
        <v>827</v>
      </c>
      <c r="C17" s="14" t="s">
        <v>1052</v>
      </c>
      <c r="D17" s="14" t="s">
        <v>2385</v>
      </c>
      <c r="E17" s="14" t="s">
        <v>82</v>
      </c>
    </row>
    <row r="18" customFormat="false" ht="15" hidden="false" customHeight="false" outlineLevel="0" collapsed="false">
      <c r="A18" s="14" t="s">
        <v>2399</v>
      </c>
      <c r="B18" s="14" t="s">
        <v>1012</v>
      </c>
      <c r="C18" s="14" t="s">
        <v>1052</v>
      </c>
      <c r="D18" s="14" t="s">
        <v>2385</v>
      </c>
      <c r="E18" s="14" t="s">
        <v>82</v>
      </c>
    </row>
    <row r="19" customFormat="false" ht="15" hidden="false" customHeight="false" outlineLevel="0" collapsed="false">
      <c r="A19" s="14" t="s">
        <v>2400</v>
      </c>
      <c r="B19" s="14" t="s">
        <v>998</v>
      </c>
      <c r="C19" s="14" t="s">
        <v>1052</v>
      </c>
      <c r="D19" s="14" t="s">
        <v>2385</v>
      </c>
      <c r="E19" s="14" t="s">
        <v>82</v>
      </c>
    </row>
    <row r="20" customFormat="false" ht="15" hidden="false" customHeight="false" outlineLevel="0" collapsed="false">
      <c r="A20" s="14" t="s">
        <v>2401</v>
      </c>
      <c r="B20" s="14" t="s">
        <v>1001</v>
      </c>
      <c r="C20" s="14" t="s">
        <v>1052</v>
      </c>
      <c r="D20" s="14" t="s">
        <v>2385</v>
      </c>
      <c r="E20" s="14" t="s">
        <v>82</v>
      </c>
    </row>
    <row r="21" customFormat="false" ht="15" hidden="false" customHeight="false" outlineLevel="0" collapsed="false">
      <c r="A21" s="14" t="s">
        <v>2402</v>
      </c>
      <c r="B21" s="14" t="s">
        <v>1006</v>
      </c>
      <c r="C21" s="14" t="s">
        <v>1055</v>
      </c>
      <c r="D21" s="14" t="s">
        <v>2385</v>
      </c>
      <c r="E21" s="14" t="s">
        <v>82</v>
      </c>
    </row>
    <row r="22" customFormat="false" ht="15" hidden="false" customHeight="false" outlineLevel="0" collapsed="false">
      <c r="A22" s="14" t="s">
        <v>2403</v>
      </c>
      <c r="B22" s="14" t="s">
        <v>1014</v>
      </c>
      <c r="C22" s="14" t="s">
        <v>1055</v>
      </c>
      <c r="D22" s="14" t="s">
        <v>2385</v>
      </c>
      <c r="E22" s="14" t="s">
        <v>82</v>
      </c>
    </row>
    <row r="23" customFormat="false" ht="15" hidden="false" customHeight="false" outlineLevel="0" collapsed="false">
      <c r="A23" s="14" t="s">
        <v>2404</v>
      </c>
      <c r="B23" s="14" t="s">
        <v>996</v>
      </c>
      <c r="C23" s="14" t="s">
        <v>1055</v>
      </c>
      <c r="D23" s="14" t="s">
        <v>2385</v>
      </c>
      <c r="E23" s="14" t="s">
        <v>82</v>
      </c>
    </row>
    <row r="24" customFormat="false" ht="15" hidden="false" customHeight="false" outlineLevel="0" collapsed="false">
      <c r="A24" s="14" t="s">
        <v>2405</v>
      </c>
      <c r="B24" s="14" t="s">
        <v>1009</v>
      </c>
      <c r="C24" s="14" t="s">
        <v>1055</v>
      </c>
      <c r="D24" s="14" t="s">
        <v>2385</v>
      </c>
      <c r="E24" s="14" t="s">
        <v>82</v>
      </c>
    </row>
    <row r="25" customFormat="false" ht="15" hidden="false" customHeight="false" outlineLevel="0" collapsed="false">
      <c r="A25" s="14" t="s">
        <v>2406</v>
      </c>
      <c r="B25" s="14" t="s">
        <v>1004</v>
      </c>
      <c r="C25" s="14" t="s">
        <v>1055</v>
      </c>
      <c r="D25" s="14" t="s">
        <v>2385</v>
      </c>
      <c r="E25" s="14" t="s">
        <v>82</v>
      </c>
    </row>
    <row r="26" customFormat="false" ht="15" hidden="false" customHeight="false" outlineLevel="0" collapsed="false">
      <c r="A26" s="14" t="s">
        <v>2407</v>
      </c>
      <c r="B26" s="14" t="s">
        <v>827</v>
      </c>
      <c r="C26" s="14" t="s">
        <v>1055</v>
      </c>
      <c r="D26" s="14" t="s">
        <v>2385</v>
      </c>
      <c r="E26" s="14" t="s">
        <v>82</v>
      </c>
    </row>
    <row r="27" customFormat="false" ht="15" hidden="false" customHeight="false" outlineLevel="0" collapsed="false">
      <c r="A27" s="14" t="s">
        <v>2408</v>
      </c>
      <c r="B27" s="14" t="s">
        <v>1012</v>
      </c>
      <c r="C27" s="14" t="s">
        <v>1055</v>
      </c>
      <c r="D27" s="14" t="s">
        <v>2385</v>
      </c>
      <c r="E27" s="14" t="s">
        <v>82</v>
      </c>
    </row>
    <row r="28" customFormat="false" ht="15" hidden="false" customHeight="false" outlineLevel="0" collapsed="false">
      <c r="A28" s="14" t="s">
        <v>2409</v>
      </c>
      <c r="B28" s="14" t="s">
        <v>998</v>
      </c>
      <c r="C28" s="14" t="s">
        <v>1055</v>
      </c>
      <c r="D28" s="14" t="s">
        <v>2385</v>
      </c>
      <c r="E28" s="14" t="s">
        <v>82</v>
      </c>
    </row>
    <row r="29" customFormat="false" ht="15" hidden="false" customHeight="false" outlineLevel="0" collapsed="false">
      <c r="A29" s="14" t="s">
        <v>2410</v>
      </c>
      <c r="B29" s="14" t="s">
        <v>1001</v>
      </c>
      <c r="C29" s="14" t="s">
        <v>1055</v>
      </c>
      <c r="D29" s="14" t="s">
        <v>2385</v>
      </c>
      <c r="E29" s="14"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3"/>
    <col collapsed="false" customWidth="true" hidden="false" outlineLevel="0" max="5" min="4" style="0" width="12"/>
    <col collapsed="false" customWidth="true" hidden="false" outlineLevel="0" max="7" min="6" style="0" width="14"/>
    <col collapsed="false" customWidth="true" hidden="false" outlineLevel="0" max="8" min="8" style="0" width="17"/>
    <col collapsed="false" customWidth="true" hidden="false" outlineLevel="0" max="9" min="9" style="0" width="11"/>
    <col collapsed="false" customWidth="true" hidden="false" outlineLevel="0" max="10" min="10" style="0" width="10"/>
    <col collapsed="false" customWidth="true" hidden="false" outlineLevel="0" max="11" min="11" style="0" width="18"/>
    <col collapsed="false" customWidth="true" hidden="false" outlineLevel="0" max="12" min="12" style="0" width="12"/>
    <col collapsed="false" customWidth="true" hidden="false" outlineLevel="0" max="13" min="13" style="0" width="19"/>
    <col collapsed="false" customWidth="true" hidden="false" outlineLevel="0" max="14" min="14" style="0" width="17"/>
    <col collapsed="false" customWidth="true" hidden="false" outlineLevel="0" max="15" min="15" style="0" width="30"/>
    <col collapsed="false" customWidth="true" hidden="false" outlineLevel="0" max="16" min="16" style="0" width="45"/>
    <col collapsed="false" customWidth="true" hidden="false" outlineLevel="0" max="17" min="17" style="0" width="10"/>
  </cols>
  <sheetData>
    <row r="1" customFormat="false" ht="23.85" hidden="false" customHeight="false" outlineLevel="0" collapsed="false">
      <c r="A1" s="13" t="s">
        <v>341</v>
      </c>
      <c r="B1" s="13" t="s">
        <v>175</v>
      </c>
      <c r="C1" s="13" t="s">
        <v>147</v>
      </c>
      <c r="D1" s="13" t="s">
        <v>344</v>
      </c>
      <c r="E1" s="13" t="s">
        <v>346</v>
      </c>
      <c r="F1" s="13" t="s">
        <v>312</v>
      </c>
      <c r="G1" s="13" t="s">
        <v>351</v>
      </c>
      <c r="H1" s="13" t="s">
        <v>354</v>
      </c>
      <c r="I1" s="13" t="s">
        <v>372</v>
      </c>
      <c r="J1" s="13" t="s">
        <v>375</v>
      </c>
      <c r="K1" s="13" t="s">
        <v>377</v>
      </c>
      <c r="L1" s="13" t="s">
        <v>381</v>
      </c>
      <c r="M1" s="13" t="s">
        <v>386</v>
      </c>
      <c r="N1" s="13" t="s">
        <v>388</v>
      </c>
      <c r="O1" s="13" t="s">
        <v>64</v>
      </c>
      <c r="P1" s="13" t="s">
        <v>401</v>
      </c>
      <c r="Q1" s="13" t="s">
        <v>410</v>
      </c>
    </row>
    <row r="2" customFormat="false" ht="23.85" hidden="false" customHeight="false" outlineLevel="0" collapsed="false">
      <c r="A2" s="14" t="s">
        <v>2411</v>
      </c>
      <c r="B2" s="14" t="s">
        <v>1549</v>
      </c>
      <c r="C2" s="14" t="s">
        <v>1055</v>
      </c>
      <c r="D2" s="14" t="s">
        <v>2412</v>
      </c>
      <c r="E2" s="14"/>
      <c r="F2" s="14"/>
      <c r="G2" s="14" t="s">
        <v>650</v>
      </c>
      <c r="H2" s="14"/>
      <c r="I2" s="14" t="n">
        <v>0</v>
      </c>
      <c r="J2" s="14" t="n">
        <v>0</v>
      </c>
      <c r="K2" s="14" t="n">
        <v>0</v>
      </c>
      <c r="L2" s="14" t="n">
        <v>0</v>
      </c>
      <c r="M2" s="14" t="n">
        <v>0</v>
      </c>
      <c r="N2" s="14" t="n">
        <v>0</v>
      </c>
      <c r="O2" s="5" t="s">
        <v>2413</v>
      </c>
      <c r="P2" s="5" t="s">
        <v>1556</v>
      </c>
      <c r="Q2" s="14" t="s">
        <v>658</v>
      </c>
    </row>
    <row r="3" customFormat="false" ht="23.85" hidden="false" customHeight="false" outlineLevel="0" collapsed="false">
      <c r="A3" s="14" t="s">
        <v>2414</v>
      </c>
      <c r="B3" s="14" t="s">
        <v>1557</v>
      </c>
      <c r="C3" s="14" t="s">
        <v>1055</v>
      </c>
      <c r="D3" s="14" t="s">
        <v>2412</v>
      </c>
      <c r="E3" s="14"/>
      <c r="F3" s="14"/>
      <c r="G3" s="14" t="s">
        <v>650</v>
      </c>
      <c r="H3" s="14"/>
      <c r="I3" s="14" t="n">
        <v>0</v>
      </c>
      <c r="J3" s="14" t="n">
        <v>0</v>
      </c>
      <c r="K3" s="14" t="n">
        <v>0</v>
      </c>
      <c r="L3" s="14" t="n">
        <v>0</v>
      </c>
      <c r="M3" s="14" t="n">
        <v>0</v>
      </c>
      <c r="N3" s="14" t="n">
        <v>0</v>
      </c>
      <c r="O3" s="5" t="s">
        <v>2413</v>
      </c>
      <c r="P3" s="5" t="s">
        <v>1560</v>
      </c>
      <c r="Q3" s="14" t="s">
        <v>658</v>
      </c>
    </row>
    <row r="4" customFormat="false" ht="23.85" hidden="false" customHeight="false" outlineLevel="0" collapsed="false">
      <c r="A4" s="14" t="s">
        <v>2415</v>
      </c>
      <c r="B4" s="14" t="s">
        <v>1561</v>
      </c>
      <c r="C4" s="14" t="s">
        <v>1055</v>
      </c>
      <c r="D4" s="14" t="s">
        <v>2412</v>
      </c>
      <c r="E4" s="14"/>
      <c r="F4" s="14"/>
      <c r="G4" s="14" t="s">
        <v>650</v>
      </c>
      <c r="H4" s="14"/>
      <c r="I4" s="14" t="n">
        <v>0</v>
      </c>
      <c r="J4" s="14" t="n">
        <v>0</v>
      </c>
      <c r="K4" s="14" t="n">
        <v>0</v>
      </c>
      <c r="L4" s="14" t="n">
        <v>0</v>
      </c>
      <c r="M4" s="14" t="n">
        <v>0</v>
      </c>
      <c r="N4" s="14" t="n">
        <v>0</v>
      </c>
      <c r="O4" s="5" t="s">
        <v>2413</v>
      </c>
      <c r="P4" s="5" t="s">
        <v>1564</v>
      </c>
      <c r="Q4" s="14" t="s">
        <v>658</v>
      </c>
    </row>
    <row r="5" customFormat="false" ht="35.05" hidden="false" customHeight="false" outlineLevel="0" collapsed="false">
      <c r="A5" s="14" t="s">
        <v>2416</v>
      </c>
      <c r="B5" s="14" t="s">
        <v>1565</v>
      </c>
      <c r="C5" s="14" t="s">
        <v>1055</v>
      </c>
      <c r="D5" s="14" t="s">
        <v>2412</v>
      </c>
      <c r="E5" s="14"/>
      <c r="F5" s="14"/>
      <c r="G5" s="14" t="s">
        <v>650</v>
      </c>
      <c r="H5" s="14"/>
      <c r="I5" s="14" t="n">
        <v>0</v>
      </c>
      <c r="J5" s="14" t="n">
        <v>0</v>
      </c>
      <c r="K5" s="14" t="n">
        <v>0</v>
      </c>
      <c r="L5" s="14" t="n">
        <v>0</v>
      </c>
      <c r="M5" s="14" t="n">
        <v>0</v>
      </c>
      <c r="N5" s="14" t="n">
        <v>0</v>
      </c>
      <c r="O5" s="5" t="s">
        <v>2413</v>
      </c>
      <c r="P5" s="5" t="s">
        <v>1568</v>
      </c>
      <c r="Q5" s="14" t="s">
        <v>658</v>
      </c>
    </row>
    <row r="6" customFormat="false" ht="23.85" hidden="false" customHeight="false" outlineLevel="0" collapsed="false">
      <c r="A6" s="14" t="s">
        <v>2417</v>
      </c>
      <c r="B6" s="14" t="s">
        <v>1575</v>
      </c>
      <c r="C6" s="14" t="s">
        <v>1052</v>
      </c>
      <c r="D6" s="14" t="s">
        <v>2418</v>
      </c>
      <c r="E6" s="14"/>
      <c r="F6" s="14"/>
      <c r="G6" s="14" t="s">
        <v>650</v>
      </c>
      <c r="H6" s="14"/>
      <c r="I6" s="14" t="n">
        <v>0</v>
      </c>
      <c r="J6" s="14" t="n">
        <v>0</v>
      </c>
      <c r="K6" s="14" t="n">
        <v>0</v>
      </c>
      <c r="L6" s="14" t="n">
        <v>0</v>
      </c>
      <c r="M6" s="14" t="n">
        <v>0</v>
      </c>
      <c r="N6" s="14" t="n">
        <v>0</v>
      </c>
      <c r="O6" s="5" t="s">
        <v>2413</v>
      </c>
      <c r="P6" s="5" t="s">
        <v>1577</v>
      </c>
      <c r="Q6" s="14" t="s">
        <v>658</v>
      </c>
    </row>
    <row r="7" customFormat="false" ht="23.85" hidden="false" customHeight="false" outlineLevel="0" collapsed="false">
      <c r="A7" s="14" t="s">
        <v>2419</v>
      </c>
      <c r="B7" s="14" t="s">
        <v>1587</v>
      </c>
      <c r="C7" s="14" t="s">
        <v>1052</v>
      </c>
      <c r="D7" s="14" t="s">
        <v>2418</v>
      </c>
      <c r="E7" s="14"/>
      <c r="F7" s="14"/>
      <c r="G7" s="14" t="s">
        <v>650</v>
      </c>
      <c r="H7" s="14"/>
      <c r="I7" s="14" t="n">
        <v>0</v>
      </c>
      <c r="J7" s="14" t="n">
        <v>0</v>
      </c>
      <c r="K7" s="14" t="n">
        <v>0</v>
      </c>
      <c r="L7" s="14" t="n">
        <v>0</v>
      </c>
      <c r="M7" s="14" t="n">
        <v>0</v>
      </c>
      <c r="N7" s="14" t="n">
        <v>0</v>
      </c>
      <c r="O7" s="5" t="s">
        <v>2413</v>
      </c>
      <c r="P7" s="14" t="s">
        <v>1589</v>
      </c>
      <c r="Q7" s="14" t="s">
        <v>658</v>
      </c>
    </row>
    <row r="8" customFormat="false" ht="23.85" hidden="false" customHeight="false" outlineLevel="0" collapsed="false">
      <c r="A8" s="14" t="s">
        <v>2420</v>
      </c>
      <c r="B8" s="14" t="s">
        <v>1593</v>
      </c>
      <c r="C8" s="14" t="s">
        <v>1052</v>
      </c>
      <c r="D8" s="14" t="s">
        <v>2418</v>
      </c>
      <c r="E8" s="14"/>
      <c r="F8" s="14"/>
      <c r="G8" s="14" t="s">
        <v>650</v>
      </c>
      <c r="H8" s="14"/>
      <c r="I8" s="14" t="n">
        <v>0</v>
      </c>
      <c r="J8" s="14" t="n">
        <v>0</v>
      </c>
      <c r="K8" s="14" t="n">
        <v>0</v>
      </c>
      <c r="L8" s="14" t="n">
        <v>0</v>
      </c>
      <c r="M8" s="14" t="n">
        <v>0</v>
      </c>
      <c r="N8" s="14" t="n">
        <v>0</v>
      </c>
      <c r="O8" s="5" t="s">
        <v>2413</v>
      </c>
      <c r="P8" s="14" t="s">
        <v>1589</v>
      </c>
      <c r="Q8" s="14" t="s">
        <v>658</v>
      </c>
    </row>
    <row r="9" customFormat="false" ht="23.85" hidden="false" customHeight="false" outlineLevel="0" collapsed="false">
      <c r="A9" s="14" t="s">
        <v>2421</v>
      </c>
      <c r="B9" s="14" t="s">
        <v>1598</v>
      </c>
      <c r="C9" s="14" t="s">
        <v>1052</v>
      </c>
      <c r="D9" s="14" t="s">
        <v>2418</v>
      </c>
      <c r="E9" s="14"/>
      <c r="F9" s="14"/>
      <c r="G9" s="14" t="s">
        <v>650</v>
      </c>
      <c r="H9" s="14"/>
      <c r="I9" s="14" t="n">
        <v>0</v>
      </c>
      <c r="J9" s="14" t="n">
        <v>0</v>
      </c>
      <c r="K9" s="14" t="n">
        <v>0</v>
      </c>
      <c r="L9" s="14" t="n">
        <v>0</v>
      </c>
      <c r="M9" s="14" t="n">
        <v>0</v>
      </c>
      <c r="N9" s="14" t="n">
        <v>0</v>
      </c>
      <c r="O9" s="5" t="s">
        <v>2413</v>
      </c>
      <c r="P9" s="5" t="s">
        <v>1602</v>
      </c>
      <c r="Q9" s="14" t="s">
        <v>658</v>
      </c>
    </row>
    <row r="10" customFormat="false" ht="23.85" hidden="false" customHeight="false" outlineLevel="0" collapsed="false">
      <c r="A10" s="14" t="s">
        <v>2422</v>
      </c>
      <c r="B10" s="14" t="s">
        <v>1603</v>
      </c>
      <c r="C10" s="14" t="s">
        <v>1052</v>
      </c>
      <c r="D10" s="14" t="s">
        <v>2418</v>
      </c>
      <c r="E10" s="14"/>
      <c r="F10" s="14"/>
      <c r="G10" s="14" t="s">
        <v>650</v>
      </c>
      <c r="H10" s="14"/>
      <c r="I10" s="14" t="n">
        <v>0</v>
      </c>
      <c r="J10" s="14" t="n">
        <v>0</v>
      </c>
      <c r="K10" s="14" t="n">
        <v>0</v>
      </c>
      <c r="L10" s="14" t="n">
        <v>0</v>
      </c>
      <c r="M10" s="14" t="n">
        <v>0</v>
      </c>
      <c r="N10" s="14" t="n">
        <v>0</v>
      </c>
      <c r="O10" s="5" t="s">
        <v>2413</v>
      </c>
      <c r="P10" s="5" t="s">
        <v>1606</v>
      </c>
      <c r="Q10" s="14" t="s">
        <v>658</v>
      </c>
    </row>
    <row r="11" customFormat="false" ht="23.85" hidden="false" customHeight="false" outlineLevel="0" collapsed="false">
      <c r="A11" s="14" t="s">
        <v>2423</v>
      </c>
      <c r="B11" s="14" t="s">
        <v>1569</v>
      </c>
      <c r="C11" s="14" t="s">
        <v>1052</v>
      </c>
      <c r="D11" s="14" t="s">
        <v>2424</v>
      </c>
      <c r="E11" s="14"/>
      <c r="F11" s="14"/>
      <c r="G11" s="14" t="s">
        <v>650</v>
      </c>
      <c r="H11" s="14"/>
      <c r="I11" s="14" t="n">
        <v>0</v>
      </c>
      <c r="J11" s="14" t="n">
        <v>0</v>
      </c>
      <c r="K11" s="14" t="n">
        <v>0</v>
      </c>
      <c r="L11" s="14" t="n">
        <v>0</v>
      </c>
      <c r="M11" s="14" t="n">
        <v>0</v>
      </c>
      <c r="N11" s="14" t="n">
        <v>0</v>
      </c>
      <c r="O11" s="5" t="s">
        <v>2413</v>
      </c>
      <c r="P11" s="5" t="s">
        <v>1574</v>
      </c>
      <c r="Q11" s="14" t="s">
        <v>658</v>
      </c>
    </row>
    <row r="12" customFormat="false" ht="23.85" hidden="false" customHeight="false" outlineLevel="0" collapsed="false">
      <c r="A12" s="14" t="s">
        <v>2425</v>
      </c>
      <c r="B12" s="14" t="s">
        <v>1578</v>
      </c>
      <c r="C12" s="14" t="s">
        <v>1052</v>
      </c>
      <c r="D12" s="14" t="s">
        <v>2424</v>
      </c>
      <c r="E12" s="14"/>
      <c r="F12" s="14"/>
      <c r="G12" s="14" t="s">
        <v>650</v>
      </c>
      <c r="H12" s="14"/>
      <c r="I12" s="14" t="n">
        <v>0</v>
      </c>
      <c r="J12" s="14" t="n">
        <v>0</v>
      </c>
      <c r="K12" s="14" t="n">
        <v>0</v>
      </c>
      <c r="L12" s="14" t="n">
        <v>0</v>
      </c>
      <c r="M12" s="14" t="n">
        <v>0</v>
      </c>
      <c r="N12" s="14" t="n">
        <v>0</v>
      </c>
      <c r="O12" s="5" t="s">
        <v>2413</v>
      </c>
      <c r="P12" s="14" t="s">
        <v>1580</v>
      </c>
      <c r="Q12" s="14" t="s">
        <v>658</v>
      </c>
    </row>
    <row r="13" customFormat="false" ht="23.85" hidden="false" customHeight="false" outlineLevel="0" collapsed="false">
      <c r="A13" s="14" t="s">
        <v>2426</v>
      </c>
      <c r="B13" s="14" t="s">
        <v>1581</v>
      </c>
      <c r="C13" s="14" t="s">
        <v>1052</v>
      </c>
      <c r="D13" s="14" t="s">
        <v>2424</v>
      </c>
      <c r="E13" s="14"/>
      <c r="F13" s="14"/>
      <c r="G13" s="14" t="s">
        <v>650</v>
      </c>
      <c r="H13" s="14"/>
      <c r="I13" s="14" t="n">
        <v>0</v>
      </c>
      <c r="J13" s="14" t="n">
        <v>0</v>
      </c>
      <c r="K13" s="14" t="n">
        <v>0</v>
      </c>
      <c r="L13" s="14" t="n">
        <v>0</v>
      </c>
      <c r="M13" s="14" t="n">
        <v>0</v>
      </c>
      <c r="N13" s="14" t="n">
        <v>0</v>
      </c>
      <c r="O13" s="5" t="s">
        <v>2413</v>
      </c>
      <c r="P13" s="14" t="s">
        <v>1583</v>
      </c>
      <c r="Q13" s="14" t="s">
        <v>658</v>
      </c>
    </row>
    <row r="14" customFormat="false" ht="35.05" hidden="false" customHeight="false" outlineLevel="0" collapsed="false">
      <c r="A14" s="14" t="s">
        <v>2427</v>
      </c>
      <c r="B14" s="14" t="s">
        <v>1584</v>
      </c>
      <c r="C14" s="14" t="s">
        <v>1052</v>
      </c>
      <c r="D14" s="14" t="s">
        <v>2424</v>
      </c>
      <c r="E14" s="14"/>
      <c r="F14" s="14"/>
      <c r="G14" s="14" t="s">
        <v>650</v>
      </c>
      <c r="H14" s="14"/>
      <c r="I14" s="14" t="n">
        <v>0</v>
      </c>
      <c r="J14" s="14" t="n">
        <v>0</v>
      </c>
      <c r="K14" s="14" t="n">
        <v>0</v>
      </c>
      <c r="L14" s="14" t="n">
        <v>0</v>
      </c>
      <c r="M14" s="14" t="n">
        <v>0</v>
      </c>
      <c r="N14" s="14" t="n">
        <v>0</v>
      </c>
      <c r="O14" s="5" t="s">
        <v>2413</v>
      </c>
      <c r="P14" s="5" t="s">
        <v>1586</v>
      </c>
      <c r="Q14" s="14" t="s">
        <v>658</v>
      </c>
    </row>
    <row r="15" customFormat="false" ht="23.85" hidden="false" customHeight="false" outlineLevel="0" collapsed="false">
      <c r="A15" s="14" t="s">
        <v>2428</v>
      </c>
      <c r="B15" s="14" t="s">
        <v>1590</v>
      </c>
      <c r="C15" s="14" t="s">
        <v>1052</v>
      </c>
      <c r="D15" s="14" t="s">
        <v>2424</v>
      </c>
      <c r="E15" s="14"/>
      <c r="F15" s="14"/>
      <c r="G15" s="14" t="s">
        <v>650</v>
      </c>
      <c r="H15" s="14"/>
      <c r="I15" s="14" t="n">
        <v>0</v>
      </c>
      <c r="J15" s="14" t="n">
        <v>0</v>
      </c>
      <c r="K15" s="14" t="n">
        <v>0</v>
      </c>
      <c r="L15" s="14" t="n">
        <v>0</v>
      </c>
      <c r="M15" s="14" t="n">
        <v>0</v>
      </c>
      <c r="N15" s="14" t="n">
        <v>0</v>
      </c>
      <c r="O15" s="5" t="s">
        <v>2413</v>
      </c>
      <c r="P15" s="14" t="s">
        <v>1592</v>
      </c>
      <c r="Q15" s="14" t="s">
        <v>658</v>
      </c>
    </row>
    <row r="16" customFormat="false" ht="23.85" hidden="false" customHeight="false" outlineLevel="0" collapsed="false">
      <c r="A16" s="14" t="s">
        <v>2429</v>
      </c>
      <c r="B16" s="14" t="s">
        <v>1595</v>
      </c>
      <c r="C16" s="14" t="s">
        <v>1052</v>
      </c>
      <c r="D16" s="14" t="s">
        <v>2424</v>
      </c>
      <c r="E16" s="14"/>
      <c r="F16" s="14"/>
      <c r="G16" s="14" t="s">
        <v>650</v>
      </c>
      <c r="H16" s="14"/>
      <c r="I16" s="14" t="n">
        <v>0</v>
      </c>
      <c r="J16" s="14" t="n">
        <v>0</v>
      </c>
      <c r="K16" s="14" t="n">
        <v>0</v>
      </c>
      <c r="L16" s="14" t="n">
        <v>0</v>
      </c>
      <c r="M16" s="14" t="n">
        <v>0</v>
      </c>
      <c r="N16" s="14" t="n">
        <v>0</v>
      </c>
      <c r="O16" s="5" t="s">
        <v>2413</v>
      </c>
      <c r="P16" s="5" t="s">
        <v>1597</v>
      </c>
      <c r="Q16" s="14" t="s">
        <v>658</v>
      </c>
    </row>
    <row r="17" customFormat="false" ht="23.85" hidden="false" customHeight="false" outlineLevel="0" collapsed="false">
      <c r="A17" s="14" t="s">
        <v>2430</v>
      </c>
      <c r="B17" s="14" t="s">
        <v>1744</v>
      </c>
      <c r="C17" s="14" t="s">
        <v>1049</v>
      </c>
      <c r="D17" s="14" t="s">
        <v>2431</v>
      </c>
      <c r="E17" s="14"/>
      <c r="F17" s="14"/>
      <c r="G17" s="14" t="s">
        <v>650</v>
      </c>
      <c r="H17" s="14"/>
      <c r="I17" s="14" t="n">
        <v>0</v>
      </c>
      <c r="J17" s="14" t="n">
        <v>0</v>
      </c>
      <c r="K17" s="14" t="n">
        <v>0</v>
      </c>
      <c r="L17" s="14" t="n">
        <v>0</v>
      </c>
      <c r="M17" s="14" t="n">
        <v>0</v>
      </c>
      <c r="N17" s="14" t="n">
        <v>0</v>
      </c>
      <c r="O17" s="5" t="s">
        <v>2413</v>
      </c>
      <c r="P17" s="14" t="s">
        <v>1747</v>
      </c>
      <c r="Q17" s="14" t="s">
        <v>658</v>
      </c>
    </row>
    <row r="18" customFormat="false" ht="23.85" hidden="false" customHeight="false" outlineLevel="0" collapsed="false">
      <c r="A18" s="14" t="s">
        <v>2432</v>
      </c>
      <c r="B18" s="14" t="s">
        <v>1748</v>
      </c>
      <c r="C18" s="14" t="s">
        <v>1049</v>
      </c>
      <c r="D18" s="14" t="s">
        <v>2431</v>
      </c>
      <c r="E18" s="14"/>
      <c r="F18" s="14"/>
      <c r="G18" s="14" t="s">
        <v>650</v>
      </c>
      <c r="H18" s="14"/>
      <c r="I18" s="14" t="n">
        <v>0</v>
      </c>
      <c r="J18" s="14" t="n">
        <v>0</v>
      </c>
      <c r="K18" s="14" t="n">
        <v>0</v>
      </c>
      <c r="L18" s="14" t="n">
        <v>0</v>
      </c>
      <c r="M18" s="14" t="n">
        <v>0</v>
      </c>
      <c r="N18" s="14" t="n">
        <v>0</v>
      </c>
      <c r="O18" s="5" t="s">
        <v>2413</v>
      </c>
      <c r="P18" s="14" t="s">
        <v>1752</v>
      </c>
      <c r="Q18" s="14" t="s">
        <v>658</v>
      </c>
    </row>
    <row r="19" customFormat="false" ht="23.85" hidden="false" customHeight="false" outlineLevel="0" collapsed="false">
      <c r="A19" s="14" t="s">
        <v>2433</v>
      </c>
      <c r="B19" s="14" t="s">
        <v>1753</v>
      </c>
      <c r="C19" s="14" t="s">
        <v>1049</v>
      </c>
      <c r="D19" s="14" t="s">
        <v>2431</v>
      </c>
      <c r="E19" s="14"/>
      <c r="F19" s="14"/>
      <c r="G19" s="14" t="s">
        <v>650</v>
      </c>
      <c r="H19" s="14"/>
      <c r="I19" s="14" t="n">
        <v>0</v>
      </c>
      <c r="J19" s="14" t="n">
        <v>0</v>
      </c>
      <c r="K19" s="14" t="n">
        <v>0</v>
      </c>
      <c r="L19" s="14" t="n">
        <v>0</v>
      </c>
      <c r="M19" s="14" t="n">
        <v>0</v>
      </c>
      <c r="N19" s="14" t="n">
        <v>0</v>
      </c>
      <c r="O19" s="5" t="s">
        <v>2413</v>
      </c>
      <c r="P19" s="14" t="s">
        <v>1756</v>
      </c>
      <c r="Q19" s="14" t="s">
        <v>658</v>
      </c>
    </row>
    <row r="20" customFormat="false" ht="23.85" hidden="false" customHeight="false" outlineLevel="0" collapsed="false">
      <c r="A20" s="14" t="s">
        <v>2434</v>
      </c>
      <c r="B20" s="14" t="s">
        <v>1643</v>
      </c>
      <c r="C20" s="14" t="s">
        <v>1049</v>
      </c>
      <c r="D20" s="14" t="s">
        <v>2435</v>
      </c>
      <c r="E20" s="14"/>
      <c r="F20" s="14"/>
      <c r="G20" s="14" t="s">
        <v>650</v>
      </c>
      <c r="H20" s="14"/>
      <c r="I20" s="14" t="n">
        <v>0</v>
      </c>
      <c r="J20" s="14" t="n">
        <v>0</v>
      </c>
      <c r="K20" s="14" t="n">
        <v>0</v>
      </c>
      <c r="L20" s="14" t="n">
        <v>0</v>
      </c>
      <c r="M20" s="14" t="n">
        <v>0</v>
      </c>
      <c r="N20" s="14" t="n">
        <v>0</v>
      </c>
      <c r="O20" s="5" t="s">
        <v>2413</v>
      </c>
      <c r="P20" s="5" t="s">
        <v>1647</v>
      </c>
      <c r="Q20" s="14" t="s">
        <v>658</v>
      </c>
    </row>
    <row r="21" customFormat="false" ht="35.05" hidden="false" customHeight="false" outlineLevel="0" collapsed="false">
      <c r="A21" s="14" t="s">
        <v>2436</v>
      </c>
      <c r="B21" s="14" t="s">
        <v>1666</v>
      </c>
      <c r="C21" s="14" t="s">
        <v>1049</v>
      </c>
      <c r="D21" s="14" t="s">
        <v>2435</v>
      </c>
      <c r="E21" s="14"/>
      <c r="F21" s="14"/>
      <c r="G21" s="14" t="s">
        <v>650</v>
      </c>
      <c r="H21" s="14"/>
      <c r="I21" s="14" t="n">
        <v>0</v>
      </c>
      <c r="J21" s="14" t="n">
        <v>0</v>
      </c>
      <c r="K21" s="14" t="n">
        <v>0</v>
      </c>
      <c r="L21" s="14" t="n">
        <v>0</v>
      </c>
      <c r="M21" s="14" t="n">
        <v>0</v>
      </c>
      <c r="N21" s="14" t="n">
        <v>0</v>
      </c>
      <c r="O21" s="5" t="s">
        <v>2413</v>
      </c>
      <c r="P21" s="5" t="s">
        <v>1669</v>
      </c>
      <c r="Q21" s="14" t="s">
        <v>658</v>
      </c>
    </row>
    <row r="22" customFormat="false" ht="23.85" hidden="false" customHeight="false" outlineLevel="0" collapsed="false">
      <c r="A22" s="14" t="s">
        <v>2437</v>
      </c>
      <c r="B22" s="14" t="s">
        <v>1675</v>
      </c>
      <c r="C22" s="14" t="s">
        <v>1049</v>
      </c>
      <c r="D22" s="14" t="s">
        <v>2435</v>
      </c>
      <c r="E22" s="14"/>
      <c r="F22" s="14"/>
      <c r="G22" s="14" t="s">
        <v>650</v>
      </c>
      <c r="H22" s="14"/>
      <c r="I22" s="14" t="n">
        <v>0</v>
      </c>
      <c r="J22" s="14" t="n">
        <v>0</v>
      </c>
      <c r="K22" s="14" t="n">
        <v>0</v>
      </c>
      <c r="L22" s="14" t="n">
        <v>0</v>
      </c>
      <c r="M22" s="14" t="n">
        <v>0</v>
      </c>
      <c r="N22" s="14" t="n">
        <v>0</v>
      </c>
      <c r="O22" s="5" t="s">
        <v>2413</v>
      </c>
      <c r="P22" s="5" t="s">
        <v>1679</v>
      </c>
      <c r="Q22" s="14" t="s">
        <v>658</v>
      </c>
    </row>
    <row r="23" customFormat="false" ht="23.85" hidden="false" customHeight="false" outlineLevel="0" collapsed="false">
      <c r="A23" s="14" t="s">
        <v>2438</v>
      </c>
      <c r="B23" s="14" t="s">
        <v>1721</v>
      </c>
      <c r="C23" s="14" t="s">
        <v>1049</v>
      </c>
      <c r="D23" s="14" t="s">
        <v>2435</v>
      </c>
      <c r="E23" s="14"/>
      <c r="F23" s="14"/>
      <c r="G23" s="14" t="s">
        <v>650</v>
      </c>
      <c r="H23" s="14"/>
      <c r="I23" s="14" t="n">
        <v>0</v>
      </c>
      <c r="J23" s="14" t="n">
        <v>0</v>
      </c>
      <c r="K23" s="14" t="n">
        <v>0</v>
      </c>
      <c r="L23" s="14" t="n">
        <v>0</v>
      </c>
      <c r="M23" s="14" t="n">
        <v>0</v>
      </c>
      <c r="N23" s="14" t="n">
        <v>0</v>
      </c>
      <c r="O23" s="5" t="s">
        <v>2413</v>
      </c>
      <c r="P23" s="5" t="s">
        <v>1725</v>
      </c>
      <c r="Q23" s="14" t="s">
        <v>658</v>
      </c>
    </row>
    <row r="24" customFormat="false" ht="35.05" hidden="false" customHeight="false" outlineLevel="0" collapsed="false">
      <c r="A24" s="14" t="s">
        <v>2439</v>
      </c>
      <c r="B24" s="14" t="s">
        <v>1615</v>
      </c>
      <c r="C24" s="14" t="s">
        <v>1049</v>
      </c>
      <c r="D24" s="14" t="s">
        <v>2440</v>
      </c>
      <c r="E24" s="14"/>
      <c r="F24" s="14"/>
      <c r="G24" s="14" t="s">
        <v>650</v>
      </c>
      <c r="H24" s="14"/>
      <c r="I24" s="14" t="n">
        <v>0</v>
      </c>
      <c r="J24" s="14" t="n">
        <v>0</v>
      </c>
      <c r="K24" s="14" t="n">
        <v>0</v>
      </c>
      <c r="L24" s="14" t="n">
        <v>0</v>
      </c>
      <c r="M24" s="14" t="n">
        <v>0</v>
      </c>
      <c r="N24" s="14" t="n">
        <v>0</v>
      </c>
      <c r="O24" s="5" t="s">
        <v>2413</v>
      </c>
      <c r="P24" s="5" t="s">
        <v>1619</v>
      </c>
      <c r="Q24" s="14" t="s">
        <v>658</v>
      </c>
    </row>
    <row r="25" customFormat="false" ht="35.05" hidden="false" customHeight="false" outlineLevel="0" collapsed="false">
      <c r="A25" s="14" t="s">
        <v>2441</v>
      </c>
      <c r="B25" s="14" t="s">
        <v>1620</v>
      </c>
      <c r="C25" s="14" t="s">
        <v>1049</v>
      </c>
      <c r="D25" s="14" t="s">
        <v>2440</v>
      </c>
      <c r="E25" s="14"/>
      <c r="F25" s="14"/>
      <c r="G25" s="14" t="s">
        <v>650</v>
      </c>
      <c r="H25" s="14"/>
      <c r="I25" s="14" t="n">
        <v>0</v>
      </c>
      <c r="J25" s="14" t="n">
        <v>0</v>
      </c>
      <c r="K25" s="14" t="n">
        <v>0</v>
      </c>
      <c r="L25" s="14" t="n">
        <v>0</v>
      </c>
      <c r="M25" s="14" t="n">
        <v>0</v>
      </c>
      <c r="N25" s="14" t="n">
        <v>0</v>
      </c>
      <c r="O25" s="5" t="s">
        <v>2413</v>
      </c>
      <c r="P25" s="5" t="s">
        <v>1624</v>
      </c>
      <c r="Q25" s="14" t="s">
        <v>658</v>
      </c>
    </row>
    <row r="26" customFormat="false" ht="35.05" hidden="false" customHeight="false" outlineLevel="0" collapsed="false">
      <c r="A26" s="14" t="s">
        <v>2442</v>
      </c>
      <c r="B26" s="14" t="s">
        <v>1625</v>
      </c>
      <c r="C26" s="14" t="s">
        <v>1049</v>
      </c>
      <c r="D26" s="14" t="s">
        <v>2440</v>
      </c>
      <c r="E26" s="14"/>
      <c r="F26" s="14"/>
      <c r="G26" s="14" t="s">
        <v>650</v>
      </c>
      <c r="H26" s="14"/>
      <c r="I26" s="14" t="n">
        <v>0</v>
      </c>
      <c r="J26" s="14" t="n">
        <v>0</v>
      </c>
      <c r="K26" s="14" t="n">
        <v>0</v>
      </c>
      <c r="L26" s="14" t="n">
        <v>0</v>
      </c>
      <c r="M26" s="14" t="n">
        <v>0</v>
      </c>
      <c r="N26" s="14" t="n">
        <v>0</v>
      </c>
      <c r="O26" s="5" t="s">
        <v>2413</v>
      </c>
      <c r="P26" s="5" t="s">
        <v>1629</v>
      </c>
      <c r="Q26" s="14" t="s">
        <v>658</v>
      </c>
    </row>
    <row r="27" customFormat="false" ht="35.05" hidden="false" customHeight="false" outlineLevel="0" collapsed="false">
      <c r="A27" s="14" t="s">
        <v>2443</v>
      </c>
      <c r="B27" s="14" t="s">
        <v>1630</v>
      </c>
      <c r="C27" s="14" t="s">
        <v>1049</v>
      </c>
      <c r="D27" s="14" t="s">
        <v>2440</v>
      </c>
      <c r="E27" s="14"/>
      <c r="F27" s="14"/>
      <c r="G27" s="14" t="s">
        <v>650</v>
      </c>
      <c r="H27" s="14"/>
      <c r="I27" s="14" t="n">
        <v>0</v>
      </c>
      <c r="J27" s="14" t="n">
        <v>0</v>
      </c>
      <c r="K27" s="14" t="n">
        <v>0</v>
      </c>
      <c r="L27" s="14" t="n">
        <v>0</v>
      </c>
      <c r="M27" s="14" t="n">
        <v>0</v>
      </c>
      <c r="N27" s="14" t="n">
        <v>0</v>
      </c>
      <c r="O27" s="5" t="s">
        <v>2413</v>
      </c>
      <c r="P27" s="5" t="s">
        <v>1633</v>
      </c>
      <c r="Q27" s="14" t="s">
        <v>658</v>
      </c>
    </row>
    <row r="28" customFormat="false" ht="46.25" hidden="false" customHeight="false" outlineLevel="0" collapsed="false">
      <c r="A28" s="14" t="s">
        <v>2444</v>
      </c>
      <c r="B28" s="14" t="s">
        <v>1634</v>
      </c>
      <c r="C28" s="14" t="s">
        <v>1049</v>
      </c>
      <c r="D28" s="14" t="s">
        <v>2440</v>
      </c>
      <c r="E28" s="14"/>
      <c r="F28" s="14"/>
      <c r="G28" s="14" t="s">
        <v>650</v>
      </c>
      <c r="H28" s="14"/>
      <c r="I28" s="14" t="n">
        <v>0</v>
      </c>
      <c r="J28" s="14" t="n">
        <v>0</v>
      </c>
      <c r="K28" s="14" t="n">
        <v>0</v>
      </c>
      <c r="L28" s="14" t="n">
        <v>0</v>
      </c>
      <c r="M28" s="14" t="n">
        <v>0</v>
      </c>
      <c r="N28" s="14" t="n">
        <v>0</v>
      </c>
      <c r="O28" s="5" t="s">
        <v>2413</v>
      </c>
      <c r="P28" s="5" t="s">
        <v>1637</v>
      </c>
      <c r="Q28" s="14" t="s">
        <v>658</v>
      </c>
    </row>
    <row r="29" customFormat="false" ht="23.85" hidden="false" customHeight="false" outlineLevel="0" collapsed="false">
      <c r="A29" s="14" t="s">
        <v>2445</v>
      </c>
      <c r="B29" s="14" t="s">
        <v>1638</v>
      </c>
      <c r="C29" s="14" t="s">
        <v>1049</v>
      </c>
      <c r="D29" s="14" t="s">
        <v>2440</v>
      </c>
      <c r="E29" s="14"/>
      <c r="F29" s="14"/>
      <c r="G29" s="14" t="s">
        <v>650</v>
      </c>
      <c r="H29" s="14"/>
      <c r="I29" s="14" t="n">
        <v>0</v>
      </c>
      <c r="J29" s="14" t="n">
        <v>0</v>
      </c>
      <c r="K29" s="14" t="n">
        <v>0</v>
      </c>
      <c r="L29" s="14" t="n">
        <v>0</v>
      </c>
      <c r="M29" s="14" t="n">
        <v>0</v>
      </c>
      <c r="N29" s="14" t="n">
        <v>0</v>
      </c>
      <c r="O29" s="5" t="s">
        <v>2413</v>
      </c>
      <c r="P29" s="5" t="s">
        <v>1642</v>
      </c>
      <c r="Q29" s="14" t="s">
        <v>658</v>
      </c>
    </row>
    <row r="30" customFormat="false" ht="23.85" hidden="false" customHeight="false" outlineLevel="0" collapsed="false">
      <c r="A30" s="14" t="s">
        <v>2446</v>
      </c>
      <c r="B30" s="14" t="s">
        <v>1648</v>
      </c>
      <c r="C30" s="14" t="s">
        <v>1049</v>
      </c>
      <c r="D30" s="14" t="s">
        <v>2440</v>
      </c>
      <c r="E30" s="14"/>
      <c r="F30" s="14"/>
      <c r="G30" s="14" t="s">
        <v>650</v>
      </c>
      <c r="H30" s="14"/>
      <c r="I30" s="14" t="n">
        <v>0</v>
      </c>
      <c r="J30" s="14" t="n">
        <v>0</v>
      </c>
      <c r="K30" s="14" t="n">
        <v>0</v>
      </c>
      <c r="L30" s="14" t="n">
        <v>0</v>
      </c>
      <c r="M30" s="14" t="n">
        <v>0</v>
      </c>
      <c r="N30" s="14" t="n">
        <v>0</v>
      </c>
      <c r="O30" s="5" t="s">
        <v>2413</v>
      </c>
      <c r="P30" s="5" t="s">
        <v>1651</v>
      </c>
      <c r="Q30" s="14" t="s">
        <v>658</v>
      </c>
    </row>
    <row r="31" customFormat="false" ht="23.85" hidden="false" customHeight="false" outlineLevel="0" collapsed="false">
      <c r="A31" s="14" t="s">
        <v>2447</v>
      </c>
      <c r="B31" s="14" t="s">
        <v>1652</v>
      </c>
      <c r="C31" s="14" t="s">
        <v>1049</v>
      </c>
      <c r="D31" s="14" t="s">
        <v>2440</v>
      </c>
      <c r="E31" s="14"/>
      <c r="F31" s="14"/>
      <c r="G31" s="14" t="s">
        <v>650</v>
      </c>
      <c r="H31" s="14"/>
      <c r="I31" s="14" t="n">
        <v>0</v>
      </c>
      <c r="J31" s="14" t="n">
        <v>0</v>
      </c>
      <c r="K31" s="14" t="n">
        <v>0</v>
      </c>
      <c r="L31" s="14" t="n">
        <v>0</v>
      </c>
      <c r="M31" s="14" t="n">
        <v>0</v>
      </c>
      <c r="N31" s="14" t="n">
        <v>0</v>
      </c>
      <c r="O31" s="5" t="s">
        <v>2413</v>
      </c>
      <c r="P31" s="5" t="s">
        <v>1656</v>
      </c>
      <c r="Q31" s="14" t="s">
        <v>658</v>
      </c>
    </row>
    <row r="32" customFormat="false" ht="23.85" hidden="false" customHeight="false" outlineLevel="0" collapsed="false">
      <c r="A32" s="14" t="s">
        <v>2448</v>
      </c>
      <c r="B32" s="14" t="s">
        <v>1657</v>
      </c>
      <c r="C32" s="14" t="s">
        <v>1049</v>
      </c>
      <c r="D32" s="14" t="s">
        <v>2440</v>
      </c>
      <c r="E32" s="14"/>
      <c r="F32" s="14"/>
      <c r="G32" s="14" t="s">
        <v>650</v>
      </c>
      <c r="H32" s="14"/>
      <c r="I32" s="14" t="n">
        <v>0</v>
      </c>
      <c r="J32" s="14" t="n">
        <v>0</v>
      </c>
      <c r="K32" s="14" t="n">
        <v>0</v>
      </c>
      <c r="L32" s="14" t="n">
        <v>0</v>
      </c>
      <c r="M32" s="14" t="n">
        <v>0</v>
      </c>
      <c r="N32" s="14" t="n">
        <v>0</v>
      </c>
      <c r="O32" s="5" t="s">
        <v>2413</v>
      </c>
      <c r="P32" s="5" t="s">
        <v>1661</v>
      </c>
      <c r="Q32" s="14" t="s">
        <v>658</v>
      </c>
    </row>
    <row r="33" customFormat="false" ht="23.85" hidden="false" customHeight="false" outlineLevel="0" collapsed="false">
      <c r="A33" s="14" t="s">
        <v>2449</v>
      </c>
      <c r="B33" s="14" t="s">
        <v>1662</v>
      </c>
      <c r="C33" s="14" t="s">
        <v>1049</v>
      </c>
      <c r="D33" s="14" t="s">
        <v>2440</v>
      </c>
      <c r="E33" s="14"/>
      <c r="F33" s="14"/>
      <c r="G33" s="14" t="s">
        <v>650</v>
      </c>
      <c r="H33" s="14"/>
      <c r="I33" s="14" t="n">
        <v>0</v>
      </c>
      <c r="J33" s="14" t="n">
        <v>0</v>
      </c>
      <c r="K33" s="14" t="n">
        <v>0</v>
      </c>
      <c r="L33" s="14" t="n">
        <v>0</v>
      </c>
      <c r="M33" s="14" t="n">
        <v>0</v>
      </c>
      <c r="N33" s="14" t="n">
        <v>0</v>
      </c>
      <c r="O33" s="5" t="s">
        <v>2413</v>
      </c>
      <c r="P33" s="5" t="s">
        <v>1665</v>
      </c>
      <c r="Q33" s="14" t="s">
        <v>658</v>
      </c>
    </row>
    <row r="34" customFormat="false" ht="23.85" hidden="false" customHeight="false" outlineLevel="0" collapsed="false">
      <c r="A34" s="14" t="s">
        <v>2450</v>
      </c>
      <c r="B34" s="14" t="s">
        <v>1670</v>
      </c>
      <c r="C34" s="14" t="s">
        <v>1049</v>
      </c>
      <c r="D34" s="14" t="s">
        <v>2440</v>
      </c>
      <c r="E34" s="14"/>
      <c r="F34" s="14"/>
      <c r="G34" s="14" t="s">
        <v>650</v>
      </c>
      <c r="H34" s="14"/>
      <c r="I34" s="14" t="n">
        <v>0</v>
      </c>
      <c r="J34" s="14" t="n">
        <v>0</v>
      </c>
      <c r="K34" s="14" t="n">
        <v>0</v>
      </c>
      <c r="L34" s="14" t="n">
        <v>0</v>
      </c>
      <c r="M34" s="14" t="n">
        <v>0</v>
      </c>
      <c r="N34" s="14" t="n">
        <v>0</v>
      </c>
      <c r="O34" s="5" t="s">
        <v>2413</v>
      </c>
      <c r="P34" s="5" t="s">
        <v>1674</v>
      </c>
      <c r="Q34" s="14" t="s">
        <v>658</v>
      </c>
    </row>
    <row r="35" customFormat="false" ht="23.85" hidden="false" customHeight="false" outlineLevel="0" collapsed="false">
      <c r="A35" s="14" t="s">
        <v>2451</v>
      </c>
      <c r="B35" s="14" t="s">
        <v>1680</v>
      </c>
      <c r="C35" s="14" t="s">
        <v>1049</v>
      </c>
      <c r="D35" s="14" t="s">
        <v>2440</v>
      </c>
      <c r="E35" s="14"/>
      <c r="F35" s="14"/>
      <c r="G35" s="14" t="s">
        <v>650</v>
      </c>
      <c r="H35" s="14"/>
      <c r="I35" s="14" t="n">
        <v>0</v>
      </c>
      <c r="J35" s="14" t="n">
        <v>0</v>
      </c>
      <c r="K35" s="14" t="n">
        <v>0</v>
      </c>
      <c r="L35" s="14" t="n">
        <v>0</v>
      </c>
      <c r="M35" s="14" t="n">
        <v>0</v>
      </c>
      <c r="N35" s="14" t="n">
        <v>0</v>
      </c>
      <c r="O35" s="5" t="s">
        <v>2413</v>
      </c>
      <c r="P35" s="14" t="s">
        <v>694</v>
      </c>
      <c r="Q35" s="14" t="s">
        <v>658</v>
      </c>
    </row>
    <row r="36" customFormat="false" ht="23.85" hidden="false" customHeight="false" outlineLevel="0" collapsed="false">
      <c r="A36" s="14" t="s">
        <v>2452</v>
      </c>
      <c r="B36" s="14" t="s">
        <v>1682</v>
      </c>
      <c r="C36" s="14" t="s">
        <v>1049</v>
      </c>
      <c r="D36" s="14" t="s">
        <v>2440</v>
      </c>
      <c r="E36" s="14"/>
      <c r="F36" s="14"/>
      <c r="G36" s="14" t="s">
        <v>650</v>
      </c>
      <c r="H36" s="14"/>
      <c r="I36" s="14" t="n">
        <v>0</v>
      </c>
      <c r="J36" s="14" t="n">
        <v>0</v>
      </c>
      <c r="K36" s="14" t="n">
        <v>0</v>
      </c>
      <c r="L36" s="14" t="n">
        <v>0</v>
      </c>
      <c r="M36" s="14" t="n">
        <v>0</v>
      </c>
      <c r="N36" s="14" t="n">
        <v>0</v>
      </c>
      <c r="O36" s="5" t="s">
        <v>2413</v>
      </c>
      <c r="P36" s="14" t="s">
        <v>694</v>
      </c>
      <c r="Q36" s="14" t="s">
        <v>658</v>
      </c>
    </row>
    <row r="37" customFormat="false" ht="23.85" hidden="false" customHeight="false" outlineLevel="0" collapsed="false">
      <c r="A37" s="14" t="s">
        <v>2453</v>
      </c>
      <c r="B37" s="14" t="s">
        <v>1684</v>
      </c>
      <c r="C37" s="14" t="s">
        <v>1049</v>
      </c>
      <c r="D37" s="14" t="s">
        <v>2440</v>
      </c>
      <c r="E37" s="14"/>
      <c r="F37" s="14"/>
      <c r="G37" s="14" t="s">
        <v>650</v>
      </c>
      <c r="H37" s="14"/>
      <c r="I37" s="14" t="n">
        <v>0</v>
      </c>
      <c r="J37" s="14" t="n">
        <v>0</v>
      </c>
      <c r="K37" s="14" t="n">
        <v>0</v>
      </c>
      <c r="L37" s="14" t="n">
        <v>0</v>
      </c>
      <c r="M37" s="14" t="n">
        <v>0</v>
      </c>
      <c r="N37" s="14" t="n">
        <v>0</v>
      </c>
      <c r="O37" s="5" t="s">
        <v>2413</v>
      </c>
      <c r="P37" s="14" t="s">
        <v>694</v>
      </c>
      <c r="Q37" s="14" t="s">
        <v>658</v>
      </c>
    </row>
    <row r="38" customFormat="false" ht="23.85" hidden="false" customHeight="false" outlineLevel="0" collapsed="false">
      <c r="A38" s="14" t="s">
        <v>2454</v>
      </c>
      <c r="B38" s="14" t="s">
        <v>1686</v>
      </c>
      <c r="C38" s="14" t="s">
        <v>1049</v>
      </c>
      <c r="D38" s="14" t="s">
        <v>2440</v>
      </c>
      <c r="E38" s="14"/>
      <c r="F38" s="14"/>
      <c r="G38" s="14" t="s">
        <v>650</v>
      </c>
      <c r="H38" s="14"/>
      <c r="I38" s="14" t="n">
        <v>0</v>
      </c>
      <c r="J38" s="14" t="n">
        <v>0</v>
      </c>
      <c r="K38" s="14" t="n">
        <v>0</v>
      </c>
      <c r="L38" s="14" t="n">
        <v>0</v>
      </c>
      <c r="M38" s="14" t="n">
        <v>0</v>
      </c>
      <c r="N38" s="14" t="n">
        <v>0</v>
      </c>
      <c r="O38" s="5" t="s">
        <v>2413</v>
      </c>
      <c r="P38" s="14" t="s">
        <v>694</v>
      </c>
      <c r="Q38" s="14" t="s">
        <v>658</v>
      </c>
    </row>
    <row r="39" customFormat="false" ht="23.85" hidden="false" customHeight="false" outlineLevel="0" collapsed="false">
      <c r="A39" s="14" t="s">
        <v>2455</v>
      </c>
      <c r="B39" s="14" t="s">
        <v>1689</v>
      </c>
      <c r="C39" s="14" t="s">
        <v>1049</v>
      </c>
      <c r="D39" s="14" t="s">
        <v>2440</v>
      </c>
      <c r="E39" s="14"/>
      <c r="F39" s="14"/>
      <c r="G39" s="14" t="s">
        <v>650</v>
      </c>
      <c r="H39" s="14"/>
      <c r="I39" s="14" t="n">
        <v>0</v>
      </c>
      <c r="J39" s="14" t="n">
        <v>0</v>
      </c>
      <c r="K39" s="14" t="n">
        <v>0</v>
      </c>
      <c r="L39" s="14" t="n">
        <v>0</v>
      </c>
      <c r="M39" s="14" t="n">
        <v>0</v>
      </c>
      <c r="N39" s="14" t="n">
        <v>0</v>
      </c>
      <c r="O39" s="5" t="s">
        <v>2413</v>
      </c>
      <c r="P39" s="14" t="s">
        <v>694</v>
      </c>
      <c r="Q39" s="14" t="s">
        <v>658</v>
      </c>
    </row>
    <row r="40" customFormat="false" ht="23.85" hidden="false" customHeight="false" outlineLevel="0" collapsed="false">
      <c r="A40" s="14" t="s">
        <v>2456</v>
      </c>
      <c r="B40" s="14" t="s">
        <v>1691</v>
      </c>
      <c r="C40" s="14" t="s">
        <v>1049</v>
      </c>
      <c r="D40" s="14" t="s">
        <v>2440</v>
      </c>
      <c r="E40" s="14"/>
      <c r="F40" s="14"/>
      <c r="G40" s="14" t="s">
        <v>650</v>
      </c>
      <c r="H40" s="14"/>
      <c r="I40" s="14" t="n">
        <v>0</v>
      </c>
      <c r="J40" s="14" t="n">
        <v>0</v>
      </c>
      <c r="K40" s="14" t="n">
        <v>0</v>
      </c>
      <c r="L40" s="14" t="n">
        <v>0</v>
      </c>
      <c r="M40" s="14" t="n">
        <v>0</v>
      </c>
      <c r="N40" s="14" t="n">
        <v>0</v>
      </c>
      <c r="O40" s="5" t="s">
        <v>2413</v>
      </c>
      <c r="P40" s="14" t="s">
        <v>694</v>
      </c>
      <c r="Q40" s="14" t="s">
        <v>658</v>
      </c>
    </row>
    <row r="41" customFormat="false" ht="23.85" hidden="false" customHeight="false" outlineLevel="0" collapsed="false">
      <c r="A41" s="14" t="s">
        <v>2457</v>
      </c>
      <c r="B41" s="14" t="s">
        <v>1694</v>
      </c>
      <c r="C41" s="14" t="s">
        <v>1049</v>
      </c>
      <c r="D41" s="14" t="s">
        <v>2440</v>
      </c>
      <c r="E41" s="14"/>
      <c r="F41" s="14"/>
      <c r="G41" s="14" t="s">
        <v>650</v>
      </c>
      <c r="H41" s="14"/>
      <c r="I41" s="14" t="n">
        <v>0</v>
      </c>
      <c r="J41" s="14" t="n">
        <v>0</v>
      </c>
      <c r="K41" s="14" t="n">
        <v>0</v>
      </c>
      <c r="L41" s="14" t="n">
        <v>0</v>
      </c>
      <c r="M41" s="14" t="n">
        <v>0</v>
      </c>
      <c r="N41" s="14" t="n">
        <v>0</v>
      </c>
      <c r="O41" s="5" t="s">
        <v>2413</v>
      </c>
      <c r="P41" s="14" t="s">
        <v>694</v>
      </c>
      <c r="Q41" s="14" t="s">
        <v>658</v>
      </c>
    </row>
    <row r="42" customFormat="false" ht="23.85" hidden="false" customHeight="false" outlineLevel="0" collapsed="false">
      <c r="A42" s="14" t="s">
        <v>2458</v>
      </c>
      <c r="B42" s="14" t="s">
        <v>1696</v>
      </c>
      <c r="C42" s="14" t="s">
        <v>1049</v>
      </c>
      <c r="D42" s="14" t="s">
        <v>2440</v>
      </c>
      <c r="E42" s="14"/>
      <c r="F42" s="14"/>
      <c r="G42" s="14" t="s">
        <v>650</v>
      </c>
      <c r="H42" s="14"/>
      <c r="I42" s="14" t="n">
        <v>0</v>
      </c>
      <c r="J42" s="14" t="n">
        <v>0</v>
      </c>
      <c r="K42" s="14" t="n">
        <v>0</v>
      </c>
      <c r="L42" s="14" t="n">
        <v>0</v>
      </c>
      <c r="M42" s="14" t="n">
        <v>0</v>
      </c>
      <c r="N42" s="14" t="n">
        <v>0</v>
      </c>
      <c r="O42" s="5" t="s">
        <v>2413</v>
      </c>
      <c r="P42" s="14" t="s">
        <v>1698</v>
      </c>
      <c r="Q42" s="14" t="s">
        <v>658</v>
      </c>
    </row>
    <row r="43" customFormat="false" ht="46.25" hidden="false" customHeight="false" outlineLevel="0" collapsed="false">
      <c r="A43" s="14" t="s">
        <v>2459</v>
      </c>
      <c r="B43" s="14" t="s">
        <v>1699</v>
      </c>
      <c r="C43" s="14" t="s">
        <v>1049</v>
      </c>
      <c r="D43" s="14" t="s">
        <v>2440</v>
      </c>
      <c r="E43" s="14"/>
      <c r="F43" s="14"/>
      <c r="G43" s="14" t="s">
        <v>650</v>
      </c>
      <c r="H43" s="14"/>
      <c r="I43" s="14" t="n">
        <v>0</v>
      </c>
      <c r="J43" s="14" t="n">
        <v>0</v>
      </c>
      <c r="K43" s="14" t="n">
        <v>0</v>
      </c>
      <c r="L43" s="14" t="n">
        <v>0</v>
      </c>
      <c r="M43" s="14" t="n">
        <v>0</v>
      </c>
      <c r="N43" s="14" t="n">
        <v>0</v>
      </c>
      <c r="O43" s="5" t="s">
        <v>2413</v>
      </c>
      <c r="P43" s="5" t="s">
        <v>1702</v>
      </c>
      <c r="Q43" s="14" t="s">
        <v>658</v>
      </c>
    </row>
    <row r="44" customFormat="false" ht="35.05" hidden="false" customHeight="false" outlineLevel="0" collapsed="false">
      <c r="A44" s="14" t="s">
        <v>2460</v>
      </c>
      <c r="B44" s="14" t="s">
        <v>1703</v>
      </c>
      <c r="C44" s="14" t="s">
        <v>1049</v>
      </c>
      <c r="D44" s="14" t="s">
        <v>2440</v>
      </c>
      <c r="E44" s="14"/>
      <c r="F44" s="14"/>
      <c r="G44" s="14" t="s">
        <v>650</v>
      </c>
      <c r="H44" s="14"/>
      <c r="I44" s="14" t="n">
        <v>0</v>
      </c>
      <c r="J44" s="14" t="n">
        <v>0</v>
      </c>
      <c r="K44" s="14" t="n">
        <v>0</v>
      </c>
      <c r="L44" s="14" t="n">
        <v>0</v>
      </c>
      <c r="M44" s="14" t="n">
        <v>0</v>
      </c>
      <c r="N44" s="14" t="n">
        <v>0</v>
      </c>
      <c r="O44" s="5" t="s">
        <v>2413</v>
      </c>
      <c r="P44" s="5" t="s">
        <v>1705</v>
      </c>
      <c r="Q44" s="14" t="s">
        <v>658</v>
      </c>
    </row>
    <row r="45" customFormat="false" ht="35.05" hidden="false" customHeight="false" outlineLevel="0" collapsed="false">
      <c r="A45" s="14" t="s">
        <v>2461</v>
      </c>
      <c r="B45" s="14" t="s">
        <v>1706</v>
      </c>
      <c r="C45" s="14" t="s">
        <v>1049</v>
      </c>
      <c r="D45" s="14" t="s">
        <v>2440</v>
      </c>
      <c r="E45" s="14"/>
      <c r="F45" s="14"/>
      <c r="G45" s="14" t="s">
        <v>650</v>
      </c>
      <c r="H45" s="14"/>
      <c r="I45" s="14" t="n">
        <v>0</v>
      </c>
      <c r="J45" s="14" t="n">
        <v>0</v>
      </c>
      <c r="K45" s="14" t="n">
        <v>0</v>
      </c>
      <c r="L45" s="14" t="n">
        <v>0</v>
      </c>
      <c r="M45" s="14" t="n">
        <v>0</v>
      </c>
      <c r="N45" s="14" t="n">
        <v>0</v>
      </c>
      <c r="O45" s="5" t="s">
        <v>2413</v>
      </c>
      <c r="P45" s="5" t="s">
        <v>1708</v>
      </c>
      <c r="Q45" s="14" t="s">
        <v>658</v>
      </c>
    </row>
    <row r="46" customFormat="false" ht="35.05" hidden="false" customHeight="false" outlineLevel="0" collapsed="false">
      <c r="A46" s="14" t="s">
        <v>2462</v>
      </c>
      <c r="B46" s="14" t="s">
        <v>1709</v>
      </c>
      <c r="C46" s="14" t="s">
        <v>1049</v>
      </c>
      <c r="D46" s="14" t="s">
        <v>2440</v>
      </c>
      <c r="E46" s="14"/>
      <c r="F46" s="14"/>
      <c r="G46" s="14" t="s">
        <v>650</v>
      </c>
      <c r="H46" s="14"/>
      <c r="I46" s="14" t="n">
        <v>0</v>
      </c>
      <c r="J46" s="14" t="n">
        <v>0</v>
      </c>
      <c r="K46" s="14" t="n">
        <v>0</v>
      </c>
      <c r="L46" s="14" t="n">
        <v>0</v>
      </c>
      <c r="M46" s="14" t="n">
        <v>0</v>
      </c>
      <c r="N46" s="14" t="n">
        <v>0</v>
      </c>
      <c r="O46" s="5" t="s">
        <v>2413</v>
      </c>
      <c r="P46" s="5" t="s">
        <v>1712</v>
      </c>
      <c r="Q46" s="14" t="s">
        <v>658</v>
      </c>
    </row>
    <row r="47" customFormat="false" ht="23.85" hidden="false" customHeight="false" outlineLevel="0" collapsed="false">
      <c r="A47" s="14" t="s">
        <v>2463</v>
      </c>
      <c r="B47" s="14" t="s">
        <v>1713</v>
      </c>
      <c r="C47" s="14" t="s">
        <v>1049</v>
      </c>
      <c r="D47" s="14" t="s">
        <v>2440</v>
      </c>
      <c r="E47" s="14"/>
      <c r="F47" s="14"/>
      <c r="G47" s="14" t="s">
        <v>650</v>
      </c>
      <c r="H47" s="14"/>
      <c r="I47" s="14" t="n">
        <v>0</v>
      </c>
      <c r="J47" s="14" t="n">
        <v>0</v>
      </c>
      <c r="K47" s="14" t="n">
        <v>0</v>
      </c>
      <c r="L47" s="14" t="n">
        <v>0</v>
      </c>
      <c r="M47" s="14" t="n">
        <v>0</v>
      </c>
      <c r="N47" s="14" t="n">
        <v>0</v>
      </c>
      <c r="O47" s="5" t="s">
        <v>2413</v>
      </c>
      <c r="P47" s="5" t="s">
        <v>1717</v>
      </c>
      <c r="Q47" s="14" t="s">
        <v>658</v>
      </c>
    </row>
    <row r="48" customFormat="false" ht="23.85" hidden="false" customHeight="false" outlineLevel="0" collapsed="false">
      <c r="A48" s="14" t="s">
        <v>2464</v>
      </c>
      <c r="B48" s="14" t="s">
        <v>1718</v>
      </c>
      <c r="C48" s="14" t="s">
        <v>1049</v>
      </c>
      <c r="D48" s="14" t="s">
        <v>2440</v>
      </c>
      <c r="E48" s="14"/>
      <c r="F48" s="14"/>
      <c r="G48" s="14" t="s">
        <v>650</v>
      </c>
      <c r="H48" s="14"/>
      <c r="I48" s="14" t="n">
        <v>0</v>
      </c>
      <c r="J48" s="14" t="n">
        <v>0</v>
      </c>
      <c r="K48" s="14" t="n">
        <v>0</v>
      </c>
      <c r="L48" s="14" t="n">
        <v>0</v>
      </c>
      <c r="M48" s="14" t="n">
        <v>0</v>
      </c>
      <c r="N48" s="14" t="n">
        <v>0</v>
      </c>
      <c r="O48" s="5" t="s">
        <v>2413</v>
      </c>
      <c r="P48" s="14" t="s">
        <v>694</v>
      </c>
      <c r="Q48" s="14" t="s">
        <v>658</v>
      </c>
    </row>
    <row r="49" customFormat="false" ht="23.85" hidden="false" customHeight="false" outlineLevel="0" collapsed="false">
      <c r="A49" s="14" t="s">
        <v>2465</v>
      </c>
      <c r="B49" s="14" t="s">
        <v>1726</v>
      </c>
      <c r="C49" s="14" t="s">
        <v>1049</v>
      </c>
      <c r="D49" s="14" t="s">
        <v>2440</v>
      </c>
      <c r="E49" s="14"/>
      <c r="F49" s="14"/>
      <c r="G49" s="14" t="s">
        <v>650</v>
      </c>
      <c r="H49" s="14"/>
      <c r="I49" s="14" t="n">
        <v>0</v>
      </c>
      <c r="J49" s="14" t="n">
        <v>0</v>
      </c>
      <c r="K49" s="14" t="n">
        <v>0</v>
      </c>
      <c r="L49" s="14" t="n">
        <v>0</v>
      </c>
      <c r="M49" s="14" t="n">
        <v>0</v>
      </c>
      <c r="N49" s="14" t="n">
        <v>0</v>
      </c>
      <c r="O49" s="5" t="s">
        <v>2413</v>
      </c>
      <c r="P49" s="14" t="s">
        <v>1731</v>
      </c>
      <c r="Q49" s="14" t="s">
        <v>658</v>
      </c>
    </row>
    <row r="50" customFormat="false" ht="23.85" hidden="false" customHeight="false" outlineLevel="0" collapsed="false">
      <c r="A50" s="14" t="s">
        <v>2466</v>
      </c>
      <c r="B50" s="14" t="s">
        <v>1732</v>
      </c>
      <c r="C50" s="14" t="s">
        <v>1049</v>
      </c>
      <c r="D50" s="14" t="s">
        <v>2440</v>
      </c>
      <c r="E50" s="14"/>
      <c r="F50" s="14"/>
      <c r="G50" s="14" t="s">
        <v>650</v>
      </c>
      <c r="H50" s="14"/>
      <c r="I50" s="14" t="n">
        <v>0</v>
      </c>
      <c r="J50" s="14" t="n">
        <v>0</v>
      </c>
      <c r="K50" s="14" t="n">
        <v>0</v>
      </c>
      <c r="L50" s="14" t="n">
        <v>0</v>
      </c>
      <c r="M50" s="14" t="n">
        <v>0</v>
      </c>
      <c r="N50" s="14" t="n">
        <v>0</v>
      </c>
      <c r="O50" s="5" t="s">
        <v>2413</v>
      </c>
      <c r="P50" s="14"/>
      <c r="Q50" s="14" t="s">
        <v>658</v>
      </c>
    </row>
    <row r="51" customFormat="false" ht="35.05" hidden="false" customHeight="false" outlineLevel="0" collapsed="false">
      <c r="A51" s="14" t="s">
        <v>2467</v>
      </c>
      <c r="B51" s="14" t="s">
        <v>1736</v>
      </c>
      <c r="C51" s="14" t="s">
        <v>1049</v>
      </c>
      <c r="D51" s="14" t="s">
        <v>2440</v>
      </c>
      <c r="E51" s="14"/>
      <c r="F51" s="14"/>
      <c r="G51" s="14" t="s">
        <v>650</v>
      </c>
      <c r="H51" s="14"/>
      <c r="I51" s="14" t="n">
        <v>0</v>
      </c>
      <c r="J51" s="14" t="n">
        <v>0</v>
      </c>
      <c r="K51" s="14" t="n">
        <v>0</v>
      </c>
      <c r="L51" s="14" t="n">
        <v>0</v>
      </c>
      <c r="M51" s="14" t="n">
        <v>0</v>
      </c>
      <c r="N51" s="14" t="n">
        <v>0</v>
      </c>
      <c r="O51" s="5" t="s">
        <v>2413</v>
      </c>
      <c r="P51" s="5" t="s">
        <v>1739</v>
      </c>
      <c r="Q51" s="14" t="s">
        <v>658</v>
      </c>
    </row>
    <row r="52" customFormat="false" ht="23.85" hidden="false" customHeight="false" outlineLevel="0" collapsed="false">
      <c r="A52" s="14" t="s">
        <v>2468</v>
      </c>
      <c r="B52" s="14" t="s">
        <v>1740</v>
      </c>
      <c r="C52" s="14" t="s">
        <v>1049</v>
      </c>
      <c r="D52" s="14" t="s">
        <v>2440</v>
      </c>
      <c r="E52" s="14"/>
      <c r="F52" s="14"/>
      <c r="G52" s="14" t="s">
        <v>650</v>
      </c>
      <c r="H52" s="14"/>
      <c r="I52" s="14" t="n">
        <v>0</v>
      </c>
      <c r="J52" s="14" t="n">
        <v>0</v>
      </c>
      <c r="K52" s="14" t="n">
        <v>0</v>
      </c>
      <c r="L52" s="14" t="n">
        <v>0</v>
      </c>
      <c r="M52" s="14" t="n">
        <v>0</v>
      </c>
      <c r="N52" s="14" t="n">
        <v>0</v>
      </c>
      <c r="O52" s="5" t="s">
        <v>2413</v>
      </c>
      <c r="P52" s="5" t="s">
        <v>1743</v>
      </c>
      <c r="Q52" s="14" t="s">
        <v>658</v>
      </c>
    </row>
    <row r="53" customFormat="false" ht="23.85" hidden="false" customHeight="false" outlineLevel="0" collapsed="false">
      <c r="A53" s="14" t="s">
        <v>2469</v>
      </c>
      <c r="B53" s="14" t="s">
        <v>1757</v>
      </c>
      <c r="C53" s="14" t="s">
        <v>1060</v>
      </c>
      <c r="D53" s="14" t="s">
        <v>2470</v>
      </c>
      <c r="E53" s="14"/>
      <c r="F53" s="14"/>
      <c r="G53" s="14" t="s">
        <v>650</v>
      </c>
      <c r="H53" s="14"/>
      <c r="I53" s="14" t="n">
        <v>0</v>
      </c>
      <c r="J53" s="14" t="n">
        <v>0</v>
      </c>
      <c r="K53" s="14" t="n">
        <v>0</v>
      </c>
      <c r="L53" s="14" t="n">
        <v>0</v>
      </c>
      <c r="M53" s="14" t="n">
        <v>0</v>
      </c>
      <c r="N53" s="14" t="n">
        <v>0</v>
      </c>
      <c r="O53" s="5" t="s">
        <v>2413</v>
      </c>
      <c r="P53" s="5" t="s">
        <v>1762</v>
      </c>
      <c r="Q53" s="14" t="s">
        <v>658</v>
      </c>
    </row>
    <row r="54" customFormat="false" ht="23.85" hidden="false" customHeight="false" outlineLevel="0" collapsed="false">
      <c r="A54" s="14" t="s">
        <v>2471</v>
      </c>
      <c r="B54" s="14" t="s">
        <v>1781</v>
      </c>
      <c r="C54" s="14" t="s">
        <v>1060</v>
      </c>
      <c r="D54" s="14" t="s">
        <v>2470</v>
      </c>
      <c r="E54" s="14"/>
      <c r="F54" s="14"/>
      <c r="G54" s="14" t="s">
        <v>650</v>
      </c>
      <c r="H54" s="14"/>
      <c r="I54" s="14" t="n">
        <v>0</v>
      </c>
      <c r="J54" s="14" t="n">
        <v>0</v>
      </c>
      <c r="K54" s="14" t="n">
        <v>0</v>
      </c>
      <c r="L54" s="14" t="n">
        <v>0</v>
      </c>
      <c r="M54" s="14" t="n">
        <v>0</v>
      </c>
      <c r="N54" s="14" t="n">
        <v>0</v>
      </c>
      <c r="O54" s="5" t="s">
        <v>2413</v>
      </c>
      <c r="P54" s="14" t="s">
        <v>1785</v>
      </c>
      <c r="Q54" s="14" t="s">
        <v>658</v>
      </c>
    </row>
    <row r="55" customFormat="false" ht="23.85" hidden="false" customHeight="false" outlineLevel="0" collapsed="false">
      <c r="A55" s="14" t="s">
        <v>2472</v>
      </c>
      <c r="B55" s="14" t="s">
        <v>1768</v>
      </c>
      <c r="C55" s="14" t="s">
        <v>1060</v>
      </c>
      <c r="D55" s="14" t="s">
        <v>2473</v>
      </c>
      <c r="E55" s="14"/>
      <c r="F55" s="14"/>
      <c r="G55" s="14" t="s">
        <v>650</v>
      </c>
      <c r="H55" s="14"/>
      <c r="I55" s="14" t="n">
        <v>0</v>
      </c>
      <c r="J55" s="14" t="n">
        <v>0</v>
      </c>
      <c r="K55" s="14" t="n">
        <v>0</v>
      </c>
      <c r="L55" s="14" t="n">
        <v>0</v>
      </c>
      <c r="M55" s="14" t="n">
        <v>0</v>
      </c>
      <c r="N55" s="14" t="n">
        <v>0</v>
      </c>
      <c r="O55" s="5" t="s">
        <v>2413</v>
      </c>
      <c r="P55" s="14" t="s">
        <v>1771</v>
      </c>
      <c r="Q55" s="14" t="s">
        <v>658</v>
      </c>
    </row>
    <row r="56" customFormat="false" ht="23.85" hidden="false" customHeight="false" outlineLevel="0" collapsed="false">
      <c r="A56" s="14" t="s">
        <v>2474</v>
      </c>
      <c r="B56" s="14" t="s">
        <v>1772</v>
      </c>
      <c r="C56" s="14" t="s">
        <v>1060</v>
      </c>
      <c r="D56" s="14" t="s">
        <v>2473</v>
      </c>
      <c r="E56" s="14"/>
      <c r="F56" s="14"/>
      <c r="G56" s="14" t="s">
        <v>650</v>
      </c>
      <c r="H56" s="14"/>
      <c r="I56" s="14" t="n">
        <v>0</v>
      </c>
      <c r="J56" s="14" t="n">
        <v>0</v>
      </c>
      <c r="K56" s="14" t="n">
        <v>0</v>
      </c>
      <c r="L56" s="14" t="n">
        <v>0</v>
      </c>
      <c r="M56" s="14" t="n">
        <v>0</v>
      </c>
      <c r="N56" s="14" t="n">
        <v>0</v>
      </c>
      <c r="O56" s="5" t="s">
        <v>2413</v>
      </c>
      <c r="P56" s="14" t="s">
        <v>1776</v>
      </c>
      <c r="Q56" s="14" t="s">
        <v>658</v>
      </c>
    </row>
    <row r="57" customFormat="false" ht="23.85" hidden="false" customHeight="false" outlineLevel="0" collapsed="false">
      <c r="A57" s="14" t="s">
        <v>2475</v>
      </c>
      <c r="B57" s="14" t="s">
        <v>1777</v>
      </c>
      <c r="C57" s="14" t="s">
        <v>1060</v>
      </c>
      <c r="D57" s="14" t="s">
        <v>2473</v>
      </c>
      <c r="E57" s="14"/>
      <c r="F57" s="14"/>
      <c r="G57" s="14" t="s">
        <v>650</v>
      </c>
      <c r="H57" s="14"/>
      <c r="I57" s="14" t="n">
        <v>0</v>
      </c>
      <c r="J57" s="14" t="n">
        <v>0</v>
      </c>
      <c r="K57" s="14" t="n">
        <v>0</v>
      </c>
      <c r="L57" s="14" t="n">
        <v>0</v>
      </c>
      <c r="M57" s="14" t="n">
        <v>0</v>
      </c>
      <c r="N57" s="14" t="n">
        <v>0</v>
      </c>
      <c r="O57" s="5" t="s">
        <v>2413</v>
      </c>
      <c r="P57" s="14"/>
      <c r="Q57" s="14" t="s">
        <v>658</v>
      </c>
    </row>
    <row r="58" customFormat="false" ht="23.85" hidden="false" customHeight="false" outlineLevel="0" collapsed="false">
      <c r="A58" s="14" t="s">
        <v>2476</v>
      </c>
      <c r="B58" s="14" t="s">
        <v>1802</v>
      </c>
      <c r="C58" s="14" t="s">
        <v>1060</v>
      </c>
      <c r="D58" s="14" t="s">
        <v>2473</v>
      </c>
      <c r="E58" s="14"/>
      <c r="F58" s="14"/>
      <c r="G58" s="14" t="s">
        <v>650</v>
      </c>
      <c r="H58" s="14"/>
      <c r="I58" s="14" t="n">
        <v>0</v>
      </c>
      <c r="J58" s="14" t="n">
        <v>0</v>
      </c>
      <c r="K58" s="14" t="n">
        <v>0</v>
      </c>
      <c r="L58" s="14" t="n">
        <v>0</v>
      </c>
      <c r="M58" s="14" t="n">
        <v>0</v>
      </c>
      <c r="N58" s="14" t="n">
        <v>0</v>
      </c>
      <c r="O58" s="5" t="s">
        <v>2413</v>
      </c>
      <c r="P58" s="5" t="s">
        <v>1805</v>
      </c>
      <c r="Q58" s="14" t="s">
        <v>658</v>
      </c>
    </row>
    <row r="59" customFormat="false" ht="23.85" hidden="false" customHeight="false" outlineLevel="0" collapsed="false">
      <c r="A59" s="14" t="s">
        <v>2477</v>
      </c>
      <c r="B59" s="14" t="s">
        <v>1817</v>
      </c>
      <c r="C59" s="14" t="s">
        <v>1060</v>
      </c>
      <c r="D59" s="14" t="s">
        <v>2473</v>
      </c>
      <c r="E59" s="14"/>
      <c r="F59" s="14"/>
      <c r="G59" s="14" t="s">
        <v>650</v>
      </c>
      <c r="H59" s="14"/>
      <c r="I59" s="14" t="n">
        <v>0</v>
      </c>
      <c r="J59" s="14" t="n">
        <v>0</v>
      </c>
      <c r="K59" s="14" t="n">
        <v>0</v>
      </c>
      <c r="L59" s="14" t="n">
        <v>0</v>
      </c>
      <c r="M59" s="14" t="n">
        <v>0</v>
      </c>
      <c r="N59" s="14" t="n">
        <v>0</v>
      </c>
      <c r="O59" s="5" t="s">
        <v>2413</v>
      </c>
      <c r="P59" s="14" t="s">
        <v>1820</v>
      </c>
      <c r="Q59" s="14" t="s">
        <v>658</v>
      </c>
    </row>
    <row r="60" customFormat="false" ht="23.85" hidden="false" customHeight="false" outlineLevel="0" collapsed="false">
      <c r="A60" s="14" t="s">
        <v>2478</v>
      </c>
      <c r="B60" s="14" t="s">
        <v>1825</v>
      </c>
      <c r="C60" s="14" t="s">
        <v>1060</v>
      </c>
      <c r="D60" s="14" t="s">
        <v>2473</v>
      </c>
      <c r="E60" s="14"/>
      <c r="F60" s="14"/>
      <c r="G60" s="14" t="s">
        <v>650</v>
      </c>
      <c r="H60" s="14"/>
      <c r="I60" s="14" t="n">
        <v>0</v>
      </c>
      <c r="J60" s="14" t="n">
        <v>0</v>
      </c>
      <c r="K60" s="14" t="n">
        <v>0</v>
      </c>
      <c r="L60" s="14" t="n">
        <v>0</v>
      </c>
      <c r="M60" s="14" t="n">
        <v>0</v>
      </c>
      <c r="N60" s="14" t="n">
        <v>0</v>
      </c>
      <c r="O60" s="5" t="s">
        <v>2413</v>
      </c>
      <c r="P60" s="14"/>
      <c r="Q60" s="14" t="s">
        <v>658</v>
      </c>
    </row>
    <row r="61" customFormat="false" ht="23.85" hidden="false" customHeight="false" outlineLevel="0" collapsed="false">
      <c r="A61" s="14" t="s">
        <v>2479</v>
      </c>
      <c r="B61" s="14" t="s">
        <v>1850</v>
      </c>
      <c r="C61" s="14" t="s">
        <v>1060</v>
      </c>
      <c r="D61" s="14" t="s">
        <v>2473</v>
      </c>
      <c r="E61" s="14"/>
      <c r="F61" s="14"/>
      <c r="G61" s="14" t="s">
        <v>650</v>
      </c>
      <c r="H61" s="14"/>
      <c r="I61" s="14" t="n">
        <v>0</v>
      </c>
      <c r="J61" s="14" t="n">
        <v>0</v>
      </c>
      <c r="K61" s="14" t="n">
        <v>0</v>
      </c>
      <c r="L61" s="14" t="n">
        <v>0</v>
      </c>
      <c r="M61" s="14" t="n">
        <v>0</v>
      </c>
      <c r="N61" s="14" t="n">
        <v>0</v>
      </c>
      <c r="O61" s="5" t="s">
        <v>2413</v>
      </c>
      <c r="P61" s="5" t="s">
        <v>1854</v>
      </c>
      <c r="Q61" s="14" t="s">
        <v>658</v>
      </c>
    </row>
    <row r="62" customFormat="false" ht="23.85" hidden="false" customHeight="false" outlineLevel="0" collapsed="false">
      <c r="A62" s="14" t="s">
        <v>2480</v>
      </c>
      <c r="B62" s="14" t="s">
        <v>1763</v>
      </c>
      <c r="C62" s="14" t="s">
        <v>1060</v>
      </c>
      <c r="D62" s="14" t="s">
        <v>2481</v>
      </c>
      <c r="E62" s="14"/>
      <c r="F62" s="14"/>
      <c r="G62" s="14" t="s">
        <v>650</v>
      </c>
      <c r="H62" s="14"/>
      <c r="I62" s="14" t="n">
        <v>0</v>
      </c>
      <c r="J62" s="14" t="n">
        <v>0</v>
      </c>
      <c r="K62" s="14" t="n">
        <v>0</v>
      </c>
      <c r="L62" s="14" t="n">
        <v>0</v>
      </c>
      <c r="M62" s="14" t="n">
        <v>0</v>
      </c>
      <c r="N62" s="14" t="n">
        <v>0</v>
      </c>
      <c r="O62" s="5" t="s">
        <v>2413</v>
      </c>
      <c r="P62" s="5" t="s">
        <v>1767</v>
      </c>
      <c r="Q62" s="14" t="s">
        <v>658</v>
      </c>
    </row>
    <row r="63" customFormat="false" ht="23.85" hidden="false" customHeight="false" outlineLevel="0" collapsed="false">
      <c r="A63" s="14" t="s">
        <v>2482</v>
      </c>
      <c r="B63" s="14" t="s">
        <v>1786</v>
      </c>
      <c r="C63" s="14" t="s">
        <v>1060</v>
      </c>
      <c r="D63" s="14" t="s">
        <v>2481</v>
      </c>
      <c r="E63" s="14"/>
      <c r="F63" s="14"/>
      <c r="G63" s="14" t="s">
        <v>650</v>
      </c>
      <c r="H63" s="14"/>
      <c r="I63" s="14" t="n">
        <v>0</v>
      </c>
      <c r="J63" s="14" t="n">
        <v>0</v>
      </c>
      <c r="K63" s="14" t="n">
        <v>0</v>
      </c>
      <c r="L63" s="14" t="n">
        <v>0</v>
      </c>
      <c r="M63" s="14" t="n">
        <v>0</v>
      </c>
      <c r="N63" s="14" t="n">
        <v>0</v>
      </c>
      <c r="O63" s="5" t="s">
        <v>2413</v>
      </c>
      <c r="P63" s="14" t="s">
        <v>1790</v>
      </c>
      <c r="Q63" s="14" t="s">
        <v>658</v>
      </c>
    </row>
    <row r="64" customFormat="false" ht="23.85" hidden="false" customHeight="false" outlineLevel="0" collapsed="false">
      <c r="A64" s="14" t="s">
        <v>2483</v>
      </c>
      <c r="B64" s="14" t="s">
        <v>1791</v>
      </c>
      <c r="C64" s="14" t="s">
        <v>1060</v>
      </c>
      <c r="D64" s="14" t="s">
        <v>2481</v>
      </c>
      <c r="E64" s="14"/>
      <c r="F64" s="14"/>
      <c r="G64" s="14" t="s">
        <v>650</v>
      </c>
      <c r="H64" s="14"/>
      <c r="I64" s="14" t="n">
        <v>0</v>
      </c>
      <c r="J64" s="14" t="n">
        <v>0</v>
      </c>
      <c r="K64" s="14" t="n">
        <v>0</v>
      </c>
      <c r="L64" s="14" t="n">
        <v>0</v>
      </c>
      <c r="M64" s="14" t="n">
        <v>0</v>
      </c>
      <c r="N64" s="14" t="n">
        <v>0</v>
      </c>
      <c r="O64" s="5" t="s">
        <v>2413</v>
      </c>
      <c r="P64" s="14" t="s">
        <v>1793</v>
      </c>
      <c r="Q64" s="14" t="s">
        <v>658</v>
      </c>
    </row>
    <row r="65" customFormat="false" ht="23.85" hidden="false" customHeight="false" outlineLevel="0" collapsed="false">
      <c r="A65" s="14" t="s">
        <v>2484</v>
      </c>
      <c r="B65" s="14" t="s">
        <v>1794</v>
      </c>
      <c r="C65" s="14" t="s">
        <v>1060</v>
      </c>
      <c r="D65" s="14" t="s">
        <v>2481</v>
      </c>
      <c r="E65" s="14"/>
      <c r="F65" s="14"/>
      <c r="G65" s="14" t="s">
        <v>650</v>
      </c>
      <c r="H65" s="14"/>
      <c r="I65" s="14" t="n">
        <v>0</v>
      </c>
      <c r="J65" s="14" t="n">
        <v>0</v>
      </c>
      <c r="K65" s="14" t="n">
        <v>0</v>
      </c>
      <c r="L65" s="14" t="n">
        <v>0</v>
      </c>
      <c r="M65" s="14" t="n">
        <v>0</v>
      </c>
      <c r="N65" s="14" t="n">
        <v>0</v>
      </c>
      <c r="O65" s="5" t="s">
        <v>2413</v>
      </c>
      <c r="P65" s="14" t="s">
        <v>1797</v>
      </c>
      <c r="Q65" s="14" t="s">
        <v>658</v>
      </c>
    </row>
    <row r="66" customFormat="false" ht="23.85" hidden="false" customHeight="false" outlineLevel="0" collapsed="false">
      <c r="A66" s="14" t="s">
        <v>2485</v>
      </c>
      <c r="B66" s="14" t="s">
        <v>1798</v>
      </c>
      <c r="C66" s="14" t="s">
        <v>1060</v>
      </c>
      <c r="D66" s="14" t="s">
        <v>2481</v>
      </c>
      <c r="E66" s="14"/>
      <c r="F66" s="14"/>
      <c r="G66" s="14" t="s">
        <v>650</v>
      </c>
      <c r="H66" s="14"/>
      <c r="I66" s="14" t="n">
        <v>0</v>
      </c>
      <c r="J66" s="14" t="n">
        <v>0</v>
      </c>
      <c r="K66" s="14" t="n">
        <v>0</v>
      </c>
      <c r="L66" s="14" t="n">
        <v>0</v>
      </c>
      <c r="M66" s="14" t="n">
        <v>0</v>
      </c>
      <c r="N66" s="14" t="n">
        <v>0</v>
      </c>
      <c r="O66" s="5" t="s">
        <v>2413</v>
      </c>
      <c r="P66" s="14"/>
      <c r="Q66" s="14" t="s">
        <v>658</v>
      </c>
    </row>
    <row r="67" customFormat="false" ht="23.85" hidden="false" customHeight="false" outlineLevel="0" collapsed="false">
      <c r="A67" s="14" t="s">
        <v>2486</v>
      </c>
      <c r="B67" s="14" t="s">
        <v>1827</v>
      </c>
      <c r="C67" s="14" t="s">
        <v>1060</v>
      </c>
      <c r="D67" s="14" t="s">
        <v>2481</v>
      </c>
      <c r="E67" s="14"/>
      <c r="F67" s="14"/>
      <c r="G67" s="14" t="s">
        <v>650</v>
      </c>
      <c r="H67" s="14"/>
      <c r="I67" s="14" t="n">
        <v>0</v>
      </c>
      <c r="J67" s="14" t="n">
        <v>0</v>
      </c>
      <c r="K67" s="14" t="n">
        <v>0</v>
      </c>
      <c r="L67" s="14" t="n">
        <v>0</v>
      </c>
      <c r="M67" s="14" t="n">
        <v>0</v>
      </c>
      <c r="N67" s="14" t="n">
        <v>0</v>
      </c>
      <c r="O67" s="5" t="s">
        <v>2413</v>
      </c>
      <c r="P67" s="14" t="s">
        <v>1831</v>
      </c>
      <c r="Q67" s="14" t="s">
        <v>658</v>
      </c>
    </row>
    <row r="68" customFormat="false" ht="46.25" hidden="false" customHeight="false" outlineLevel="0" collapsed="false">
      <c r="A68" s="14" t="s">
        <v>2487</v>
      </c>
      <c r="B68" s="14" t="s">
        <v>1832</v>
      </c>
      <c r="C68" s="14" t="s">
        <v>1060</v>
      </c>
      <c r="D68" s="14" t="s">
        <v>2481</v>
      </c>
      <c r="E68" s="14"/>
      <c r="F68" s="14"/>
      <c r="G68" s="14" t="s">
        <v>650</v>
      </c>
      <c r="H68" s="14"/>
      <c r="I68" s="14" t="n">
        <v>0</v>
      </c>
      <c r="J68" s="14" t="n">
        <v>0</v>
      </c>
      <c r="K68" s="14" t="n">
        <v>0</v>
      </c>
      <c r="L68" s="14" t="n">
        <v>0</v>
      </c>
      <c r="M68" s="14" t="n">
        <v>0</v>
      </c>
      <c r="N68" s="14" t="n">
        <v>0</v>
      </c>
      <c r="O68" s="5" t="s">
        <v>2413</v>
      </c>
      <c r="P68" s="5" t="s">
        <v>1836</v>
      </c>
      <c r="Q68" s="14" t="s">
        <v>658</v>
      </c>
    </row>
    <row r="69" customFormat="false" ht="35.05" hidden="false" customHeight="false" outlineLevel="0" collapsed="false">
      <c r="A69" s="14" t="s">
        <v>2488</v>
      </c>
      <c r="B69" s="14" t="s">
        <v>1837</v>
      </c>
      <c r="C69" s="14" t="s">
        <v>1060</v>
      </c>
      <c r="D69" s="14" t="s">
        <v>2481</v>
      </c>
      <c r="E69" s="14"/>
      <c r="F69" s="14"/>
      <c r="G69" s="14" t="s">
        <v>650</v>
      </c>
      <c r="H69" s="14"/>
      <c r="I69" s="14" t="n">
        <v>0</v>
      </c>
      <c r="J69" s="14" t="n">
        <v>0</v>
      </c>
      <c r="K69" s="14" t="n">
        <v>0</v>
      </c>
      <c r="L69" s="14" t="n">
        <v>0</v>
      </c>
      <c r="M69" s="14" t="n">
        <v>0</v>
      </c>
      <c r="N69" s="14" t="n">
        <v>0</v>
      </c>
      <c r="O69" s="5" t="s">
        <v>2413</v>
      </c>
      <c r="P69" s="5" t="s">
        <v>1840</v>
      </c>
      <c r="Q69" s="14" t="s">
        <v>658</v>
      </c>
    </row>
    <row r="70" customFormat="false" ht="23.85" hidden="false" customHeight="false" outlineLevel="0" collapsed="false">
      <c r="A70" s="14" t="s">
        <v>2489</v>
      </c>
      <c r="B70" s="14" t="s">
        <v>1855</v>
      </c>
      <c r="C70" s="14" t="s">
        <v>1060</v>
      </c>
      <c r="D70" s="14" t="s">
        <v>2481</v>
      </c>
      <c r="E70" s="14"/>
      <c r="F70" s="14"/>
      <c r="G70" s="14" t="s">
        <v>650</v>
      </c>
      <c r="H70" s="14"/>
      <c r="I70" s="14" t="n">
        <v>0</v>
      </c>
      <c r="J70" s="14" t="n">
        <v>0</v>
      </c>
      <c r="K70" s="14" t="n">
        <v>0</v>
      </c>
      <c r="L70" s="14" t="n">
        <v>0</v>
      </c>
      <c r="M70" s="14" t="n">
        <v>0</v>
      </c>
      <c r="N70" s="14" t="n">
        <v>0</v>
      </c>
      <c r="O70" s="5" t="s">
        <v>2413</v>
      </c>
      <c r="P70" s="14" t="s">
        <v>1858</v>
      </c>
      <c r="Q70" s="14" t="s">
        <v>658</v>
      </c>
    </row>
    <row r="71" customFormat="false" ht="23.85" hidden="false" customHeight="false" outlineLevel="0" collapsed="false">
      <c r="A71" s="14" t="s">
        <v>2490</v>
      </c>
      <c r="B71" s="14" t="s">
        <v>1841</v>
      </c>
      <c r="C71" s="14" t="s">
        <v>1060</v>
      </c>
      <c r="D71" s="14" t="s">
        <v>2424</v>
      </c>
      <c r="E71" s="14"/>
      <c r="F71" s="14"/>
      <c r="G71" s="14" t="s">
        <v>650</v>
      </c>
      <c r="H71" s="14"/>
      <c r="I71" s="14" t="n">
        <v>0</v>
      </c>
      <c r="J71" s="14" t="n">
        <v>0</v>
      </c>
      <c r="K71" s="14" t="n">
        <v>0</v>
      </c>
      <c r="L71" s="14" t="n">
        <v>0</v>
      </c>
      <c r="M71" s="14" t="n">
        <v>0</v>
      </c>
      <c r="N71" s="14" t="n">
        <v>0</v>
      </c>
      <c r="O71" s="5" t="s">
        <v>2413</v>
      </c>
      <c r="P71" s="5" t="s">
        <v>1845</v>
      </c>
      <c r="Q71" s="14" t="s">
        <v>658</v>
      </c>
    </row>
    <row r="72" customFormat="false" ht="23.85" hidden="false" customHeight="false" outlineLevel="0" collapsed="false">
      <c r="A72" s="14" t="s">
        <v>2491</v>
      </c>
      <c r="B72" s="14" t="s">
        <v>1846</v>
      </c>
      <c r="C72" s="14" t="s">
        <v>1060</v>
      </c>
      <c r="D72" s="14" t="s">
        <v>2424</v>
      </c>
      <c r="E72" s="14"/>
      <c r="F72" s="14"/>
      <c r="G72" s="14" t="s">
        <v>650</v>
      </c>
      <c r="H72" s="14"/>
      <c r="I72" s="14" t="n">
        <v>0</v>
      </c>
      <c r="J72" s="14" t="n">
        <v>0</v>
      </c>
      <c r="K72" s="14" t="n">
        <v>0</v>
      </c>
      <c r="L72" s="14" t="n">
        <v>0</v>
      </c>
      <c r="M72" s="14" t="n">
        <v>0</v>
      </c>
      <c r="N72" s="14" t="n">
        <v>0</v>
      </c>
      <c r="O72" s="5" t="s">
        <v>2413</v>
      </c>
      <c r="P72" s="5" t="s">
        <v>1849</v>
      </c>
      <c r="Q72" s="14" t="s">
        <v>658</v>
      </c>
    </row>
    <row r="73" customFormat="false" ht="23.85" hidden="false" customHeight="false" outlineLevel="0" collapsed="false">
      <c r="A73" s="14" t="s">
        <v>2492</v>
      </c>
      <c r="B73" s="14" t="s">
        <v>1974</v>
      </c>
      <c r="C73" s="14" t="s">
        <v>1062</v>
      </c>
      <c r="D73" s="14" t="s">
        <v>2493</v>
      </c>
      <c r="E73" s="14"/>
      <c r="F73" s="14"/>
      <c r="G73" s="14" t="s">
        <v>650</v>
      </c>
      <c r="H73" s="14"/>
      <c r="I73" s="14" t="n">
        <v>0</v>
      </c>
      <c r="J73" s="14" t="n">
        <v>0</v>
      </c>
      <c r="K73" s="14" t="n">
        <v>0</v>
      </c>
      <c r="L73" s="14" t="n">
        <v>0</v>
      </c>
      <c r="M73" s="14" t="n">
        <v>0</v>
      </c>
      <c r="N73" s="14" t="n">
        <v>0</v>
      </c>
      <c r="O73" s="5" t="s">
        <v>2413</v>
      </c>
      <c r="P73" s="14" t="s">
        <v>1978</v>
      </c>
      <c r="Q73" s="14" t="s">
        <v>658</v>
      </c>
    </row>
    <row r="74" customFormat="false" ht="23.85" hidden="false" customHeight="false" outlineLevel="0" collapsed="false">
      <c r="A74" s="14" t="s">
        <v>2494</v>
      </c>
      <c r="B74" s="14" t="s">
        <v>1949</v>
      </c>
      <c r="C74" s="14" t="s">
        <v>1062</v>
      </c>
      <c r="D74" s="14" t="s">
        <v>2495</v>
      </c>
      <c r="E74" s="14"/>
      <c r="F74" s="14"/>
      <c r="G74" s="14" t="s">
        <v>650</v>
      </c>
      <c r="H74" s="14"/>
      <c r="I74" s="14" t="n">
        <v>0</v>
      </c>
      <c r="J74" s="14" t="n">
        <v>0</v>
      </c>
      <c r="K74" s="14" t="n">
        <v>0</v>
      </c>
      <c r="L74" s="14" t="n">
        <v>0</v>
      </c>
      <c r="M74" s="14" t="n">
        <v>0</v>
      </c>
      <c r="N74" s="14" t="n">
        <v>0</v>
      </c>
      <c r="O74" s="5" t="s">
        <v>2413</v>
      </c>
      <c r="P74" s="5" t="s">
        <v>1954</v>
      </c>
      <c r="Q74" s="14" t="s">
        <v>658</v>
      </c>
    </row>
    <row r="75" customFormat="false" ht="23.85" hidden="false" customHeight="false" outlineLevel="0" collapsed="false">
      <c r="A75" s="14" t="s">
        <v>2496</v>
      </c>
      <c r="B75" s="14" t="s">
        <v>1955</v>
      </c>
      <c r="C75" s="14" t="s">
        <v>1062</v>
      </c>
      <c r="D75" s="14" t="s">
        <v>2495</v>
      </c>
      <c r="E75" s="14"/>
      <c r="F75" s="14"/>
      <c r="G75" s="14" t="s">
        <v>650</v>
      </c>
      <c r="H75" s="14"/>
      <c r="I75" s="14" t="n">
        <v>0</v>
      </c>
      <c r="J75" s="14" t="n">
        <v>0</v>
      </c>
      <c r="K75" s="14" t="n">
        <v>0</v>
      </c>
      <c r="L75" s="14" t="n">
        <v>0</v>
      </c>
      <c r="M75" s="14" t="n">
        <v>0</v>
      </c>
      <c r="N75" s="14" t="n">
        <v>0</v>
      </c>
      <c r="O75" s="5" t="s">
        <v>2413</v>
      </c>
      <c r="P75" s="14" t="s">
        <v>1959</v>
      </c>
      <c r="Q75" s="14" t="s">
        <v>658</v>
      </c>
    </row>
    <row r="76" customFormat="false" ht="23.85" hidden="false" customHeight="false" outlineLevel="0" collapsed="false">
      <c r="A76" s="14" t="s">
        <v>2497</v>
      </c>
      <c r="B76" s="14" t="s">
        <v>1960</v>
      </c>
      <c r="C76" s="14" t="s">
        <v>1062</v>
      </c>
      <c r="D76" s="14" t="s">
        <v>2495</v>
      </c>
      <c r="E76" s="14"/>
      <c r="F76" s="14"/>
      <c r="G76" s="14" t="s">
        <v>650</v>
      </c>
      <c r="H76" s="14"/>
      <c r="I76" s="14" t="n">
        <v>0</v>
      </c>
      <c r="J76" s="14" t="n">
        <v>0</v>
      </c>
      <c r="K76" s="14" t="n">
        <v>0</v>
      </c>
      <c r="L76" s="14" t="n">
        <v>0</v>
      </c>
      <c r="M76" s="14" t="n">
        <v>0</v>
      </c>
      <c r="N76" s="14" t="n">
        <v>0</v>
      </c>
      <c r="O76" s="5" t="s">
        <v>2413</v>
      </c>
      <c r="P76" s="14" t="s">
        <v>1964</v>
      </c>
      <c r="Q76" s="14" t="s">
        <v>658</v>
      </c>
    </row>
    <row r="77" customFormat="false" ht="23.85" hidden="false" customHeight="false" outlineLevel="0" collapsed="false">
      <c r="A77" s="14" t="s">
        <v>2498</v>
      </c>
      <c r="B77" s="14" t="s">
        <v>1965</v>
      </c>
      <c r="C77" s="14" t="s">
        <v>1062</v>
      </c>
      <c r="D77" s="14" t="s">
        <v>2495</v>
      </c>
      <c r="E77" s="14"/>
      <c r="F77" s="14"/>
      <c r="G77" s="14" t="s">
        <v>650</v>
      </c>
      <c r="H77" s="14"/>
      <c r="I77" s="14" t="n">
        <v>0</v>
      </c>
      <c r="J77" s="14" t="n">
        <v>0</v>
      </c>
      <c r="K77" s="14" t="n">
        <v>0</v>
      </c>
      <c r="L77" s="14" t="n">
        <v>0</v>
      </c>
      <c r="M77" s="14" t="n">
        <v>0</v>
      </c>
      <c r="N77" s="14" t="n">
        <v>0</v>
      </c>
      <c r="O77" s="5" t="s">
        <v>2413</v>
      </c>
      <c r="P77" s="14" t="s">
        <v>1964</v>
      </c>
      <c r="Q77" s="14" t="s">
        <v>658</v>
      </c>
    </row>
    <row r="78" customFormat="false" ht="35.05" hidden="false" customHeight="false" outlineLevel="0" collapsed="false">
      <c r="A78" s="14" t="s">
        <v>2499</v>
      </c>
      <c r="B78" s="14" t="s">
        <v>1969</v>
      </c>
      <c r="C78" s="14" t="s">
        <v>1062</v>
      </c>
      <c r="D78" s="14" t="s">
        <v>2495</v>
      </c>
      <c r="E78" s="14"/>
      <c r="F78" s="14"/>
      <c r="G78" s="14" t="s">
        <v>650</v>
      </c>
      <c r="H78" s="14"/>
      <c r="I78" s="14" t="n">
        <v>0</v>
      </c>
      <c r="J78" s="14" t="n">
        <v>0</v>
      </c>
      <c r="K78" s="14" t="n">
        <v>0</v>
      </c>
      <c r="L78" s="14" t="n">
        <v>0</v>
      </c>
      <c r="M78" s="14" t="n">
        <v>0</v>
      </c>
      <c r="N78" s="14" t="n">
        <v>0</v>
      </c>
      <c r="O78" s="5" t="s">
        <v>2413</v>
      </c>
      <c r="P78" s="5" t="s">
        <v>1973</v>
      </c>
      <c r="Q78" s="14" t="s">
        <v>658</v>
      </c>
    </row>
    <row r="79" customFormat="false" ht="23.85" hidden="false" customHeight="false" outlineLevel="0" collapsed="false">
      <c r="A79" s="14" t="s">
        <v>2500</v>
      </c>
      <c r="B79" s="14" t="s">
        <v>2078</v>
      </c>
      <c r="C79" s="14" t="s">
        <v>1065</v>
      </c>
      <c r="D79" s="14" t="s">
        <v>2501</v>
      </c>
      <c r="E79" s="14"/>
      <c r="F79" s="14"/>
      <c r="G79" s="14" t="s">
        <v>650</v>
      </c>
      <c r="H79" s="14"/>
      <c r="I79" s="14" t="n">
        <v>0</v>
      </c>
      <c r="J79" s="14" t="n">
        <v>0</v>
      </c>
      <c r="K79" s="14" t="n">
        <v>0</v>
      </c>
      <c r="L79" s="14" t="n">
        <v>0</v>
      </c>
      <c r="M79" s="14" t="n">
        <v>0</v>
      </c>
      <c r="N79" s="14" t="n">
        <v>0</v>
      </c>
      <c r="O79" s="5" t="s">
        <v>2413</v>
      </c>
      <c r="P79" s="14" t="s">
        <v>2083</v>
      </c>
      <c r="Q79" s="14" t="s">
        <v>658</v>
      </c>
    </row>
    <row r="80" customFormat="false" ht="23.85" hidden="false" customHeight="false" outlineLevel="0" collapsed="false">
      <c r="A80" s="14" t="s">
        <v>2502</v>
      </c>
      <c r="B80" s="14" t="s">
        <v>2156</v>
      </c>
      <c r="C80" s="14" t="s">
        <v>1065</v>
      </c>
      <c r="D80" s="14" t="s">
        <v>2503</v>
      </c>
      <c r="E80" s="14"/>
      <c r="F80" s="14"/>
      <c r="G80" s="14" t="s">
        <v>650</v>
      </c>
      <c r="H80" s="14"/>
      <c r="I80" s="14" t="n">
        <v>0</v>
      </c>
      <c r="J80" s="14" t="n">
        <v>0</v>
      </c>
      <c r="K80" s="14" t="n">
        <v>0</v>
      </c>
      <c r="L80" s="14" t="n">
        <v>0</v>
      </c>
      <c r="M80" s="14" t="n">
        <v>0</v>
      </c>
      <c r="N80" s="14" t="n">
        <v>0</v>
      </c>
      <c r="O80" s="5" t="s">
        <v>2413</v>
      </c>
      <c r="P80" s="14" t="s">
        <v>2159</v>
      </c>
      <c r="Q80" s="14" t="s">
        <v>658</v>
      </c>
    </row>
    <row r="81" customFormat="false" ht="23.85" hidden="false" customHeight="false" outlineLevel="0" collapsed="false">
      <c r="A81" s="14" t="s">
        <v>2504</v>
      </c>
      <c r="B81" s="14" t="s">
        <v>2093</v>
      </c>
      <c r="C81" s="14" t="s">
        <v>1065</v>
      </c>
      <c r="D81" s="14" t="s">
        <v>2505</v>
      </c>
      <c r="E81" s="14"/>
      <c r="F81" s="14"/>
      <c r="G81" s="14" t="s">
        <v>650</v>
      </c>
      <c r="H81" s="14"/>
      <c r="I81" s="14" t="n">
        <v>0</v>
      </c>
      <c r="J81" s="14" t="n">
        <v>0</v>
      </c>
      <c r="K81" s="14" t="n">
        <v>0</v>
      </c>
      <c r="L81" s="14" t="n">
        <v>0</v>
      </c>
      <c r="M81" s="14" t="n">
        <v>0</v>
      </c>
      <c r="N81" s="14" t="n">
        <v>0</v>
      </c>
      <c r="O81" s="5" t="s">
        <v>2413</v>
      </c>
      <c r="P81" s="14" t="s">
        <v>2096</v>
      </c>
      <c r="Q81" s="14" t="s">
        <v>658</v>
      </c>
    </row>
    <row r="82" customFormat="false" ht="23.85" hidden="false" customHeight="false" outlineLevel="0" collapsed="false">
      <c r="A82" s="14" t="s">
        <v>2506</v>
      </c>
      <c r="B82" s="14" t="s">
        <v>2144</v>
      </c>
      <c r="C82" s="14" t="s">
        <v>1065</v>
      </c>
      <c r="D82" s="14" t="s">
        <v>2505</v>
      </c>
      <c r="E82" s="14"/>
      <c r="F82" s="14"/>
      <c r="G82" s="14" t="s">
        <v>650</v>
      </c>
      <c r="H82" s="14"/>
      <c r="I82" s="14" t="n">
        <v>0</v>
      </c>
      <c r="J82" s="14" t="n">
        <v>0</v>
      </c>
      <c r="K82" s="14" t="n">
        <v>0</v>
      </c>
      <c r="L82" s="14" t="n">
        <v>0</v>
      </c>
      <c r="M82" s="14" t="n">
        <v>0</v>
      </c>
      <c r="N82" s="14" t="n">
        <v>0</v>
      </c>
      <c r="O82" s="5" t="s">
        <v>2413</v>
      </c>
      <c r="P82" s="5" t="s">
        <v>2147</v>
      </c>
      <c r="Q82" s="14" t="s">
        <v>658</v>
      </c>
    </row>
    <row r="83" customFormat="false" ht="23.85" hidden="false" customHeight="false" outlineLevel="0" collapsed="false">
      <c r="A83" s="14" t="s">
        <v>2507</v>
      </c>
      <c r="B83" s="14" t="s">
        <v>2160</v>
      </c>
      <c r="C83" s="14" t="s">
        <v>1065</v>
      </c>
      <c r="D83" s="14" t="s">
        <v>2508</v>
      </c>
      <c r="E83" s="14"/>
      <c r="F83" s="14"/>
      <c r="G83" s="14" t="s">
        <v>650</v>
      </c>
      <c r="H83" s="14"/>
      <c r="I83" s="14" t="n">
        <v>0</v>
      </c>
      <c r="J83" s="14" t="n">
        <v>0</v>
      </c>
      <c r="K83" s="14" t="n">
        <v>0</v>
      </c>
      <c r="L83" s="14" t="n">
        <v>0</v>
      </c>
      <c r="M83" s="14" t="n">
        <v>0</v>
      </c>
      <c r="N83" s="14" t="n">
        <v>0</v>
      </c>
      <c r="O83" s="5" t="s">
        <v>2413</v>
      </c>
      <c r="P83" s="14" t="s">
        <v>2163</v>
      </c>
      <c r="Q83" s="14" t="s">
        <v>658</v>
      </c>
    </row>
    <row r="84" customFormat="false" ht="23.85" hidden="false" customHeight="false" outlineLevel="0" collapsed="false">
      <c r="A84" s="14" t="s">
        <v>2509</v>
      </c>
      <c r="B84" s="14" t="s">
        <v>2185</v>
      </c>
      <c r="C84" s="14" t="s">
        <v>1065</v>
      </c>
      <c r="D84" s="14" t="s">
        <v>2510</v>
      </c>
      <c r="E84" s="14"/>
      <c r="F84" s="14"/>
      <c r="G84" s="14" t="s">
        <v>650</v>
      </c>
      <c r="H84" s="14"/>
      <c r="I84" s="14" t="n">
        <v>0</v>
      </c>
      <c r="J84" s="14" t="n">
        <v>0</v>
      </c>
      <c r="K84" s="14" t="n">
        <v>0</v>
      </c>
      <c r="L84" s="14" t="n">
        <v>0</v>
      </c>
      <c r="M84" s="14" t="n">
        <v>0</v>
      </c>
      <c r="N84" s="14" t="n">
        <v>0</v>
      </c>
      <c r="O84" s="5" t="s">
        <v>2413</v>
      </c>
      <c r="P84" s="5" t="s">
        <v>2187</v>
      </c>
      <c r="Q84" s="14" t="s">
        <v>658</v>
      </c>
    </row>
    <row r="85" customFormat="false" ht="23.85" hidden="false" customHeight="false" outlineLevel="0" collapsed="false">
      <c r="A85" s="14" t="s">
        <v>2511</v>
      </c>
      <c r="B85" s="14" t="s">
        <v>2097</v>
      </c>
      <c r="C85" s="14" t="s">
        <v>1065</v>
      </c>
      <c r="D85" s="14" t="s">
        <v>2512</v>
      </c>
      <c r="E85" s="14"/>
      <c r="F85" s="14"/>
      <c r="G85" s="14" t="s">
        <v>650</v>
      </c>
      <c r="H85" s="14"/>
      <c r="I85" s="14" t="n">
        <v>0</v>
      </c>
      <c r="J85" s="14" t="n">
        <v>0</v>
      </c>
      <c r="K85" s="14" t="n">
        <v>0</v>
      </c>
      <c r="L85" s="14" t="n">
        <v>0</v>
      </c>
      <c r="M85" s="14" t="n">
        <v>0</v>
      </c>
      <c r="N85" s="14" t="n">
        <v>0</v>
      </c>
      <c r="O85" s="5" t="s">
        <v>2413</v>
      </c>
      <c r="P85" s="5" t="s">
        <v>2100</v>
      </c>
      <c r="Q85" s="14" t="s">
        <v>658</v>
      </c>
    </row>
    <row r="86" customFormat="false" ht="23.85" hidden="false" customHeight="false" outlineLevel="0" collapsed="false">
      <c r="A86" s="14" t="s">
        <v>2513</v>
      </c>
      <c r="B86" s="14" t="s">
        <v>2108</v>
      </c>
      <c r="C86" s="14" t="s">
        <v>1065</v>
      </c>
      <c r="D86" s="14" t="s">
        <v>2512</v>
      </c>
      <c r="E86" s="14"/>
      <c r="F86" s="14"/>
      <c r="G86" s="14" t="s">
        <v>650</v>
      </c>
      <c r="H86" s="14"/>
      <c r="I86" s="14" t="n">
        <v>0</v>
      </c>
      <c r="J86" s="14" t="n">
        <v>0</v>
      </c>
      <c r="K86" s="14" t="n">
        <v>0</v>
      </c>
      <c r="L86" s="14" t="n">
        <v>0</v>
      </c>
      <c r="M86" s="14" t="n">
        <v>0</v>
      </c>
      <c r="N86" s="14" t="n">
        <v>0</v>
      </c>
      <c r="O86" s="5" t="s">
        <v>2413</v>
      </c>
      <c r="P86" s="5" t="s">
        <v>2111</v>
      </c>
      <c r="Q86" s="14" t="s">
        <v>658</v>
      </c>
    </row>
    <row r="87" customFormat="false" ht="23.85" hidden="false" customHeight="false" outlineLevel="0" collapsed="false">
      <c r="A87" s="14" t="s">
        <v>2514</v>
      </c>
      <c r="B87" s="14" t="s">
        <v>2132</v>
      </c>
      <c r="C87" s="14" t="s">
        <v>1065</v>
      </c>
      <c r="D87" s="14" t="s">
        <v>2512</v>
      </c>
      <c r="E87" s="14"/>
      <c r="F87" s="14"/>
      <c r="G87" s="14" t="s">
        <v>650</v>
      </c>
      <c r="H87" s="14"/>
      <c r="I87" s="14" t="n">
        <v>0</v>
      </c>
      <c r="J87" s="14" t="n">
        <v>0</v>
      </c>
      <c r="K87" s="14" t="n">
        <v>0</v>
      </c>
      <c r="L87" s="14" t="n">
        <v>0</v>
      </c>
      <c r="M87" s="14" t="n">
        <v>0</v>
      </c>
      <c r="N87" s="14" t="n">
        <v>0</v>
      </c>
      <c r="O87" s="5" t="s">
        <v>2413</v>
      </c>
      <c r="P87" s="5" t="s">
        <v>2135</v>
      </c>
      <c r="Q87" s="14" t="s">
        <v>658</v>
      </c>
    </row>
    <row r="88" customFormat="false" ht="23.85" hidden="false" customHeight="false" outlineLevel="0" collapsed="false">
      <c r="A88" s="14" t="s">
        <v>2515</v>
      </c>
      <c r="B88" s="14" t="s">
        <v>2152</v>
      </c>
      <c r="C88" s="14" t="s">
        <v>1065</v>
      </c>
      <c r="D88" s="14" t="s">
        <v>2512</v>
      </c>
      <c r="E88" s="14"/>
      <c r="F88" s="14"/>
      <c r="G88" s="14" t="s">
        <v>650</v>
      </c>
      <c r="H88" s="14"/>
      <c r="I88" s="14" t="n">
        <v>0</v>
      </c>
      <c r="J88" s="14" t="n">
        <v>0</v>
      </c>
      <c r="K88" s="14" t="n">
        <v>0</v>
      </c>
      <c r="L88" s="14" t="n">
        <v>0</v>
      </c>
      <c r="M88" s="14" t="n">
        <v>0</v>
      </c>
      <c r="N88" s="14" t="n">
        <v>0</v>
      </c>
      <c r="O88" s="5" t="s">
        <v>2413</v>
      </c>
      <c r="P88" s="14" t="s">
        <v>2155</v>
      </c>
      <c r="Q88" s="14" t="s">
        <v>658</v>
      </c>
    </row>
    <row r="89" customFormat="false" ht="23.85" hidden="false" customHeight="false" outlineLevel="0" collapsed="false">
      <c r="A89" s="14" t="s">
        <v>2516</v>
      </c>
      <c r="B89" s="14" t="s">
        <v>2167</v>
      </c>
      <c r="C89" s="14" t="s">
        <v>1065</v>
      </c>
      <c r="D89" s="14" t="s">
        <v>2512</v>
      </c>
      <c r="E89" s="14"/>
      <c r="F89" s="14"/>
      <c r="G89" s="14" t="s">
        <v>650</v>
      </c>
      <c r="H89" s="14"/>
      <c r="I89" s="14" t="n">
        <v>0</v>
      </c>
      <c r="J89" s="14" t="n">
        <v>0</v>
      </c>
      <c r="K89" s="14" t="n">
        <v>0</v>
      </c>
      <c r="L89" s="14" t="n">
        <v>0</v>
      </c>
      <c r="M89" s="14" t="n">
        <v>0</v>
      </c>
      <c r="N89" s="14" t="n">
        <v>0</v>
      </c>
      <c r="O89" s="5" t="s">
        <v>2413</v>
      </c>
      <c r="P89" s="14" t="s">
        <v>2171</v>
      </c>
      <c r="Q89" s="14" t="s">
        <v>658</v>
      </c>
    </row>
    <row r="90" customFormat="false" ht="35.05" hidden="false" customHeight="false" outlineLevel="0" collapsed="false">
      <c r="A90" s="14" t="s">
        <v>2517</v>
      </c>
      <c r="B90" s="14" t="s">
        <v>2057</v>
      </c>
      <c r="C90" s="14" t="s">
        <v>1065</v>
      </c>
      <c r="D90" s="14" t="s">
        <v>2518</v>
      </c>
      <c r="E90" s="14"/>
      <c r="F90" s="14"/>
      <c r="G90" s="14" t="s">
        <v>650</v>
      </c>
      <c r="H90" s="14"/>
      <c r="I90" s="14" t="n">
        <v>0</v>
      </c>
      <c r="J90" s="14" t="n">
        <v>0</v>
      </c>
      <c r="K90" s="14" t="n">
        <v>0</v>
      </c>
      <c r="L90" s="14" t="n">
        <v>0</v>
      </c>
      <c r="M90" s="14" t="n">
        <v>0</v>
      </c>
      <c r="N90" s="14" t="n">
        <v>0</v>
      </c>
      <c r="O90" s="5" t="s">
        <v>2413</v>
      </c>
      <c r="P90" s="5" t="s">
        <v>2060</v>
      </c>
      <c r="Q90" s="14" t="s">
        <v>658</v>
      </c>
    </row>
    <row r="91" customFormat="false" ht="23.85" hidden="false" customHeight="false" outlineLevel="0" collapsed="false">
      <c r="A91" s="14" t="s">
        <v>2519</v>
      </c>
      <c r="B91" s="14" t="s">
        <v>2072</v>
      </c>
      <c r="C91" s="14" t="s">
        <v>1065</v>
      </c>
      <c r="D91" s="14" t="s">
        <v>2518</v>
      </c>
      <c r="E91" s="14"/>
      <c r="F91" s="14"/>
      <c r="G91" s="14" t="s">
        <v>650</v>
      </c>
      <c r="H91" s="14"/>
      <c r="I91" s="14" t="n">
        <v>0</v>
      </c>
      <c r="J91" s="14" t="n">
        <v>0</v>
      </c>
      <c r="K91" s="14" t="n">
        <v>0</v>
      </c>
      <c r="L91" s="14" t="n">
        <v>0</v>
      </c>
      <c r="M91" s="14" t="n">
        <v>0</v>
      </c>
      <c r="N91" s="14" t="n">
        <v>0</v>
      </c>
      <c r="O91" s="5" t="s">
        <v>2413</v>
      </c>
      <c r="P91" s="14" t="s">
        <v>2077</v>
      </c>
      <c r="Q91" s="14" t="s">
        <v>658</v>
      </c>
    </row>
    <row r="92" customFormat="false" ht="23.85" hidden="false" customHeight="false" outlineLevel="0" collapsed="false">
      <c r="A92" s="14" t="s">
        <v>2520</v>
      </c>
      <c r="B92" s="14" t="s">
        <v>2122</v>
      </c>
      <c r="C92" s="14" t="s">
        <v>1065</v>
      </c>
      <c r="D92" s="14" t="s">
        <v>2518</v>
      </c>
      <c r="E92" s="14"/>
      <c r="F92" s="14"/>
      <c r="G92" s="14" t="s">
        <v>650</v>
      </c>
      <c r="H92" s="14"/>
      <c r="I92" s="14" t="n">
        <v>0</v>
      </c>
      <c r="J92" s="14" t="n">
        <v>0</v>
      </c>
      <c r="K92" s="14" t="n">
        <v>0</v>
      </c>
      <c r="L92" s="14" t="n">
        <v>0</v>
      </c>
      <c r="M92" s="14" t="n">
        <v>0</v>
      </c>
      <c r="N92" s="14" t="n">
        <v>0</v>
      </c>
      <c r="O92" s="5" t="s">
        <v>2413</v>
      </c>
      <c r="P92" s="14" t="s">
        <v>2125</v>
      </c>
      <c r="Q92" s="14" t="s">
        <v>658</v>
      </c>
    </row>
    <row r="93" customFormat="false" ht="23.85" hidden="false" customHeight="false" outlineLevel="0" collapsed="false">
      <c r="A93" s="14" t="s">
        <v>2521</v>
      </c>
      <c r="B93" s="14" t="s">
        <v>2148</v>
      </c>
      <c r="C93" s="14" t="s">
        <v>1065</v>
      </c>
      <c r="D93" s="14" t="s">
        <v>2518</v>
      </c>
      <c r="E93" s="14"/>
      <c r="F93" s="14"/>
      <c r="G93" s="14" t="s">
        <v>650</v>
      </c>
      <c r="H93" s="14"/>
      <c r="I93" s="14" t="n">
        <v>0</v>
      </c>
      <c r="J93" s="14" t="n">
        <v>0</v>
      </c>
      <c r="K93" s="14" t="n">
        <v>0</v>
      </c>
      <c r="L93" s="14" t="n">
        <v>0</v>
      </c>
      <c r="M93" s="14" t="n">
        <v>0</v>
      </c>
      <c r="N93" s="14" t="n">
        <v>0</v>
      </c>
      <c r="O93" s="5" t="s">
        <v>2413</v>
      </c>
      <c r="P93" s="14" t="s">
        <v>2151</v>
      </c>
      <c r="Q93" s="14" t="s">
        <v>658</v>
      </c>
    </row>
    <row r="94" customFormat="false" ht="23.85" hidden="false" customHeight="false" outlineLevel="0" collapsed="false">
      <c r="A94" s="14" t="s">
        <v>2522</v>
      </c>
      <c r="B94" s="14" t="s">
        <v>2045</v>
      </c>
      <c r="C94" s="14" t="s">
        <v>1065</v>
      </c>
      <c r="D94" s="14" t="s">
        <v>2473</v>
      </c>
      <c r="E94" s="14"/>
      <c r="F94" s="14"/>
      <c r="G94" s="14" t="s">
        <v>650</v>
      </c>
      <c r="H94" s="14"/>
      <c r="I94" s="14" t="n">
        <v>0</v>
      </c>
      <c r="J94" s="14" t="n">
        <v>0</v>
      </c>
      <c r="K94" s="14" t="n">
        <v>0</v>
      </c>
      <c r="L94" s="14" t="n">
        <v>0</v>
      </c>
      <c r="M94" s="14" t="n">
        <v>0</v>
      </c>
      <c r="N94" s="14" t="n">
        <v>0</v>
      </c>
      <c r="O94" s="5" t="s">
        <v>2413</v>
      </c>
      <c r="P94" s="5" t="s">
        <v>2049</v>
      </c>
      <c r="Q94" s="14" t="s">
        <v>658</v>
      </c>
    </row>
    <row r="95" customFormat="false" ht="46.25" hidden="false" customHeight="false" outlineLevel="0" collapsed="false">
      <c r="A95" s="14" t="s">
        <v>2523</v>
      </c>
      <c r="B95" s="14" t="s">
        <v>2061</v>
      </c>
      <c r="C95" s="14" t="s">
        <v>1065</v>
      </c>
      <c r="D95" s="14" t="s">
        <v>2473</v>
      </c>
      <c r="E95" s="14"/>
      <c r="F95" s="14"/>
      <c r="G95" s="14" t="s">
        <v>650</v>
      </c>
      <c r="H95" s="14"/>
      <c r="I95" s="14" t="n">
        <v>0</v>
      </c>
      <c r="J95" s="14" t="n">
        <v>0</v>
      </c>
      <c r="K95" s="14" t="n">
        <v>0</v>
      </c>
      <c r="L95" s="14" t="n">
        <v>0</v>
      </c>
      <c r="M95" s="14" t="n">
        <v>0</v>
      </c>
      <c r="N95" s="14" t="n">
        <v>0</v>
      </c>
      <c r="O95" s="5" t="s">
        <v>2413</v>
      </c>
      <c r="P95" s="5" t="s">
        <v>2065</v>
      </c>
      <c r="Q95" s="14" t="s">
        <v>658</v>
      </c>
    </row>
    <row r="96" customFormat="false" ht="35.05" hidden="false" customHeight="false" outlineLevel="0" collapsed="false">
      <c r="A96" s="14" t="s">
        <v>2524</v>
      </c>
      <c r="B96" s="14" t="s">
        <v>2188</v>
      </c>
      <c r="C96" s="14" t="s">
        <v>1065</v>
      </c>
      <c r="D96" s="14" t="s">
        <v>2473</v>
      </c>
      <c r="E96" s="14"/>
      <c r="F96" s="14"/>
      <c r="G96" s="14" t="s">
        <v>650</v>
      </c>
      <c r="H96" s="14"/>
      <c r="I96" s="14" t="n">
        <v>0</v>
      </c>
      <c r="J96" s="14" t="n">
        <v>0</v>
      </c>
      <c r="K96" s="14" t="n">
        <v>0</v>
      </c>
      <c r="L96" s="14" t="n">
        <v>0</v>
      </c>
      <c r="M96" s="14" t="n">
        <v>0</v>
      </c>
      <c r="N96" s="14" t="n">
        <v>0</v>
      </c>
      <c r="O96" s="5" t="s">
        <v>2413</v>
      </c>
      <c r="P96" s="5" t="s">
        <v>2190</v>
      </c>
      <c r="Q96" s="14" t="s">
        <v>658</v>
      </c>
    </row>
    <row r="97" customFormat="false" ht="23.85" hidden="false" customHeight="false" outlineLevel="0" collapsed="false">
      <c r="A97" s="14" t="s">
        <v>2525</v>
      </c>
      <c r="B97" s="14" t="s">
        <v>2050</v>
      </c>
      <c r="C97" s="14" t="s">
        <v>1065</v>
      </c>
      <c r="D97" s="14" t="s">
        <v>2481</v>
      </c>
      <c r="E97" s="14"/>
      <c r="F97" s="14"/>
      <c r="G97" s="14" t="s">
        <v>650</v>
      </c>
      <c r="H97" s="14"/>
      <c r="I97" s="14" t="n">
        <v>0</v>
      </c>
      <c r="J97" s="14" t="n">
        <v>0</v>
      </c>
      <c r="K97" s="14" t="n">
        <v>0</v>
      </c>
      <c r="L97" s="14" t="n">
        <v>0</v>
      </c>
      <c r="M97" s="14" t="n">
        <v>0</v>
      </c>
      <c r="N97" s="14" t="n">
        <v>0</v>
      </c>
      <c r="O97" s="5" t="s">
        <v>2413</v>
      </c>
      <c r="P97" s="5" t="s">
        <v>2053</v>
      </c>
      <c r="Q97" s="14" t="s">
        <v>658</v>
      </c>
    </row>
    <row r="98" customFormat="false" ht="23.85" hidden="false" customHeight="false" outlineLevel="0" collapsed="false">
      <c r="A98" s="14" t="s">
        <v>2526</v>
      </c>
      <c r="B98" s="14" t="s">
        <v>2084</v>
      </c>
      <c r="C98" s="14" t="s">
        <v>1065</v>
      </c>
      <c r="D98" s="14" t="s">
        <v>2481</v>
      </c>
      <c r="E98" s="14"/>
      <c r="F98" s="14"/>
      <c r="G98" s="14" t="s">
        <v>650</v>
      </c>
      <c r="H98" s="14"/>
      <c r="I98" s="14" t="n">
        <v>0</v>
      </c>
      <c r="J98" s="14" t="n">
        <v>0</v>
      </c>
      <c r="K98" s="14" t="n">
        <v>0</v>
      </c>
      <c r="L98" s="14" t="n">
        <v>0</v>
      </c>
      <c r="M98" s="14" t="n">
        <v>0</v>
      </c>
      <c r="N98" s="14" t="n">
        <v>0</v>
      </c>
      <c r="O98" s="5" t="s">
        <v>2413</v>
      </c>
      <c r="P98" s="5" t="s">
        <v>2088</v>
      </c>
      <c r="Q98" s="14" t="s">
        <v>658</v>
      </c>
    </row>
    <row r="99" customFormat="false" ht="23.85" hidden="false" customHeight="false" outlineLevel="0" collapsed="false">
      <c r="A99" s="14" t="s">
        <v>2527</v>
      </c>
      <c r="B99" s="14" t="s">
        <v>2164</v>
      </c>
      <c r="C99" s="14" t="s">
        <v>1065</v>
      </c>
      <c r="D99" s="14" t="s">
        <v>2481</v>
      </c>
      <c r="E99" s="14"/>
      <c r="F99" s="14"/>
      <c r="G99" s="14" t="s">
        <v>650</v>
      </c>
      <c r="H99" s="14"/>
      <c r="I99" s="14" t="n">
        <v>0</v>
      </c>
      <c r="J99" s="14" t="n">
        <v>0</v>
      </c>
      <c r="K99" s="14" t="n">
        <v>0</v>
      </c>
      <c r="L99" s="14" t="n">
        <v>0</v>
      </c>
      <c r="M99" s="14" t="n">
        <v>0</v>
      </c>
      <c r="N99" s="14" t="n">
        <v>0</v>
      </c>
      <c r="O99" s="5" t="s">
        <v>2413</v>
      </c>
      <c r="P99" s="14" t="s">
        <v>2166</v>
      </c>
      <c r="Q99" s="14" t="s">
        <v>658</v>
      </c>
    </row>
    <row r="100" customFormat="false" ht="23.85" hidden="false" customHeight="false" outlineLevel="0" collapsed="false">
      <c r="A100" s="14" t="s">
        <v>2528</v>
      </c>
      <c r="B100" s="14" t="s">
        <v>2191</v>
      </c>
      <c r="C100" s="14" t="s">
        <v>1065</v>
      </c>
      <c r="D100" s="14" t="s">
        <v>2481</v>
      </c>
      <c r="E100" s="14"/>
      <c r="F100" s="14"/>
      <c r="G100" s="14" t="s">
        <v>650</v>
      </c>
      <c r="H100" s="14"/>
      <c r="I100" s="14" t="n">
        <v>0</v>
      </c>
      <c r="J100" s="14" t="n">
        <v>0</v>
      </c>
      <c r="K100" s="14" t="n">
        <v>0</v>
      </c>
      <c r="L100" s="14" t="n">
        <v>0</v>
      </c>
      <c r="M100" s="14" t="n">
        <v>0</v>
      </c>
      <c r="N100" s="14" t="n">
        <v>0</v>
      </c>
      <c r="O100" s="5" t="s">
        <v>2413</v>
      </c>
      <c r="P100" s="5" t="s">
        <v>2193</v>
      </c>
      <c r="Q100" s="14" t="s">
        <v>658</v>
      </c>
    </row>
    <row r="101" customFormat="false" ht="23.85" hidden="false" customHeight="false" outlineLevel="0" collapsed="false">
      <c r="A101" s="14" t="s">
        <v>2529</v>
      </c>
      <c r="B101" s="14" t="s">
        <v>2089</v>
      </c>
      <c r="C101" s="14" t="s">
        <v>1065</v>
      </c>
      <c r="D101" s="14" t="s">
        <v>2530</v>
      </c>
      <c r="E101" s="14"/>
      <c r="F101" s="14"/>
      <c r="G101" s="14" t="s">
        <v>650</v>
      </c>
      <c r="H101" s="14"/>
      <c r="I101" s="14" t="n">
        <v>0</v>
      </c>
      <c r="J101" s="14" t="n">
        <v>0</v>
      </c>
      <c r="K101" s="14" t="n">
        <v>0</v>
      </c>
      <c r="L101" s="14" t="n">
        <v>0</v>
      </c>
      <c r="M101" s="14" t="n">
        <v>0</v>
      </c>
      <c r="N101" s="14" t="n">
        <v>0</v>
      </c>
      <c r="O101" s="5" t="s">
        <v>2413</v>
      </c>
      <c r="P101" s="14" t="s">
        <v>2092</v>
      </c>
      <c r="Q101" s="14" t="s">
        <v>658</v>
      </c>
    </row>
    <row r="102" customFormat="false" ht="23.85" hidden="false" customHeight="false" outlineLevel="0" collapsed="false">
      <c r="A102" s="14" t="s">
        <v>2531</v>
      </c>
      <c r="B102" s="14" t="s">
        <v>2172</v>
      </c>
      <c r="C102" s="14" t="s">
        <v>1065</v>
      </c>
      <c r="D102" s="14" t="s">
        <v>2530</v>
      </c>
      <c r="E102" s="14"/>
      <c r="F102" s="14"/>
      <c r="G102" s="14" t="s">
        <v>650</v>
      </c>
      <c r="H102" s="14"/>
      <c r="I102" s="14" t="n">
        <v>0</v>
      </c>
      <c r="J102" s="14" t="n">
        <v>0</v>
      </c>
      <c r="K102" s="14" t="n">
        <v>0</v>
      </c>
      <c r="L102" s="14" t="n">
        <v>0</v>
      </c>
      <c r="M102" s="14" t="n">
        <v>0</v>
      </c>
      <c r="N102" s="14" t="n">
        <v>0</v>
      </c>
      <c r="O102" s="5" t="s">
        <v>2413</v>
      </c>
      <c r="P102" s="5" t="s">
        <v>2174</v>
      </c>
      <c r="Q102" s="14" t="s">
        <v>658</v>
      </c>
    </row>
    <row r="103" customFormat="false" ht="23.85" hidden="false" customHeight="false" outlineLevel="0" collapsed="false">
      <c r="A103" s="14" t="s">
        <v>2532</v>
      </c>
      <c r="B103" s="14" t="s">
        <v>2175</v>
      </c>
      <c r="C103" s="14" t="s">
        <v>1065</v>
      </c>
      <c r="D103" s="14" t="s">
        <v>2533</v>
      </c>
      <c r="E103" s="14"/>
      <c r="F103" s="14"/>
      <c r="G103" s="14" t="s">
        <v>650</v>
      </c>
      <c r="H103" s="14"/>
      <c r="I103" s="14" t="n">
        <v>0</v>
      </c>
      <c r="J103" s="14" t="n">
        <v>0</v>
      </c>
      <c r="K103" s="14" t="n">
        <v>0</v>
      </c>
      <c r="L103" s="14" t="n">
        <v>0</v>
      </c>
      <c r="M103" s="14" t="n">
        <v>0</v>
      </c>
      <c r="N103" s="14" t="n">
        <v>0</v>
      </c>
      <c r="O103" s="5" t="s">
        <v>2413</v>
      </c>
      <c r="P103" s="14" t="s">
        <v>2178</v>
      </c>
      <c r="Q103" s="14" t="s">
        <v>658</v>
      </c>
    </row>
    <row r="104" customFormat="false" ht="23.85" hidden="false" customHeight="false" outlineLevel="0" collapsed="false">
      <c r="A104" s="14" t="s">
        <v>2534</v>
      </c>
      <c r="B104" s="14" t="s">
        <v>2179</v>
      </c>
      <c r="C104" s="14" t="s">
        <v>1065</v>
      </c>
      <c r="D104" s="14" t="s">
        <v>2535</v>
      </c>
      <c r="E104" s="14"/>
      <c r="F104" s="14"/>
      <c r="G104" s="14" t="s">
        <v>650</v>
      </c>
      <c r="H104" s="14"/>
      <c r="I104" s="14" t="n">
        <v>0</v>
      </c>
      <c r="J104" s="14" t="n">
        <v>0</v>
      </c>
      <c r="K104" s="14" t="n">
        <v>0</v>
      </c>
      <c r="L104" s="14" t="n">
        <v>0</v>
      </c>
      <c r="M104" s="14" t="n">
        <v>0</v>
      </c>
      <c r="N104" s="14" t="n">
        <v>0</v>
      </c>
      <c r="O104" s="5" t="s">
        <v>2413</v>
      </c>
      <c r="P104" s="14" t="s">
        <v>2184</v>
      </c>
      <c r="Q104" s="14" t="s">
        <v>658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18"/>
  </cols>
  <sheetData>
    <row r="1" customFormat="false" ht="15" hidden="false" customHeight="false" outlineLevel="0" collapsed="false">
      <c r="A1" s="13" t="s">
        <v>79</v>
      </c>
      <c r="B1" s="13" t="s">
        <v>82</v>
      </c>
      <c r="C1" s="13" t="s">
        <v>320</v>
      </c>
    </row>
    <row r="2" customFormat="false" ht="15" hidden="false" customHeight="false" outlineLevel="0" collapsed="false">
      <c r="A2" s="14" t="s">
        <v>671</v>
      </c>
      <c r="B2" s="14" t="s">
        <v>658</v>
      </c>
      <c r="C2" s="14" t="s">
        <v>659</v>
      </c>
    </row>
    <row r="3" customFormat="false" ht="15" hidden="false" customHeight="false" outlineLevel="0" collapsed="false">
      <c r="A3" s="14" t="s">
        <v>672</v>
      </c>
      <c r="B3" s="14" t="s">
        <v>658</v>
      </c>
      <c r="C3" s="14" t="s">
        <v>659</v>
      </c>
    </row>
    <row r="4" customFormat="false" ht="15" hidden="false" customHeight="false" outlineLevel="0" collapsed="false">
      <c r="A4" s="14" t="s">
        <v>673</v>
      </c>
      <c r="B4" s="14" t="s">
        <v>658</v>
      </c>
      <c r="C4" s="14" t="s">
        <v>659</v>
      </c>
    </row>
    <row r="5" customFormat="false" ht="15" hidden="false" customHeight="false" outlineLevel="0" collapsed="false">
      <c r="A5" s="14" t="s">
        <v>674</v>
      </c>
      <c r="B5" s="14" t="s">
        <v>658</v>
      </c>
      <c r="C5" s="14" t="s">
        <v>659</v>
      </c>
    </row>
    <row r="6" customFormat="false" ht="15" hidden="false" customHeight="false" outlineLevel="0" collapsed="false">
      <c r="A6" s="14" t="s">
        <v>675</v>
      </c>
      <c r="B6" s="14" t="s">
        <v>658</v>
      </c>
      <c r="C6" s="14" t="s">
        <v>659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6"/>
    <col collapsed="false" customWidth="true" hidden="false" outlineLevel="0" max="4" min="4" style="0" width="12"/>
    <col collapsed="false" customWidth="true" hidden="false" outlineLevel="0" max="5" min="5" style="0" width="17"/>
    <col collapsed="false" customWidth="true" hidden="false" outlineLevel="0" max="6" min="6" style="0" width="12"/>
    <col collapsed="false" customWidth="true" hidden="false" outlineLevel="0" max="7" min="7" style="0" width="16"/>
    <col collapsed="false" customWidth="true" hidden="false" outlineLevel="0" max="8" min="8" style="0" width="20"/>
    <col collapsed="false" customWidth="true" hidden="false" outlineLevel="0" max="9" min="9" style="0" width="12"/>
    <col collapsed="false" customWidth="true" hidden="false" outlineLevel="0" max="10" min="10" style="0" width="17"/>
    <col collapsed="false" customWidth="true" hidden="false" outlineLevel="0" max="11" min="11" style="0" width="12"/>
    <col collapsed="false" customWidth="true" hidden="false" outlineLevel="0" max="12" min="12" style="0" width="16"/>
    <col collapsed="false" customWidth="true" hidden="false" outlineLevel="0" max="13" min="13" style="0" width="25"/>
    <col collapsed="false" customWidth="true" hidden="false" outlineLevel="0" max="14" min="14" style="0" width="18"/>
    <col collapsed="false" customWidth="true" hidden="false" outlineLevel="0" max="15" min="15" style="0" width="12"/>
  </cols>
  <sheetData>
    <row r="1" customFormat="false" ht="23.85" hidden="false" customHeight="false" outlineLevel="0" collapsed="false">
      <c r="A1" s="13" t="s">
        <v>79</v>
      </c>
      <c r="B1" s="13" t="s">
        <v>468</v>
      </c>
      <c r="C1" s="13" t="s">
        <v>470</v>
      </c>
      <c r="D1" s="13" t="s">
        <v>473</v>
      </c>
      <c r="E1" s="13" t="s">
        <v>475</v>
      </c>
      <c r="F1" s="13" t="s">
        <v>477</v>
      </c>
      <c r="G1" s="13" t="s">
        <v>479</v>
      </c>
      <c r="H1" s="13" t="s">
        <v>481</v>
      </c>
      <c r="I1" s="13" t="s">
        <v>484</v>
      </c>
      <c r="J1" s="13" t="s">
        <v>486</v>
      </c>
      <c r="K1" s="13" t="s">
        <v>488</v>
      </c>
      <c r="L1" s="13" t="s">
        <v>490</v>
      </c>
      <c r="M1" s="13" t="s">
        <v>492</v>
      </c>
      <c r="N1" s="13" t="s">
        <v>495</v>
      </c>
      <c r="O1" s="13" t="s">
        <v>498</v>
      </c>
    </row>
    <row r="2" customFormat="false" ht="15" hidden="false" customHeight="false" outlineLevel="0" collapsed="false">
      <c r="A2" s="14" t="s">
        <v>2536</v>
      </c>
      <c r="B2" s="14" t="s">
        <v>2537</v>
      </c>
      <c r="C2" s="14" t="n">
        <v>30</v>
      </c>
      <c r="D2" s="14" t="n">
        <v>25</v>
      </c>
      <c r="E2" s="14" t="n">
        <v>20</v>
      </c>
      <c r="F2" s="14" t="n">
        <v>15</v>
      </c>
      <c r="G2" s="14" t="n">
        <v>10</v>
      </c>
      <c r="H2" s="14" t="s">
        <v>711</v>
      </c>
      <c r="I2" s="14" t="n">
        <v>12</v>
      </c>
      <c r="J2" s="14" t="n">
        <v>8</v>
      </c>
      <c r="K2" s="14" t="n">
        <v>10</v>
      </c>
      <c r="L2" s="14" t="n">
        <v>2</v>
      </c>
      <c r="M2" s="14" t="n">
        <v>3</v>
      </c>
      <c r="N2" s="14" t="s">
        <v>713</v>
      </c>
      <c r="O2" s="14" t="s">
        <v>658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3"/>
    <col collapsed="false" customWidth="true" hidden="false" outlineLevel="0" max="3" min="3" style="0" width="24"/>
    <col collapsed="false" customWidth="true" hidden="false" outlineLevel="0" max="4" min="4" style="0" width="28"/>
    <col collapsed="false" customWidth="true" hidden="false" outlineLevel="0" max="5" min="5" style="0" width="23"/>
    <col collapsed="false" customWidth="true" hidden="false" outlineLevel="0" max="6" min="6" style="0" width="18"/>
    <col collapsed="false" customWidth="true" hidden="false" outlineLevel="0" max="7" min="7" style="0" width="22"/>
    <col collapsed="false" customWidth="true" hidden="false" outlineLevel="0" max="8" min="8" style="0" width="70"/>
  </cols>
  <sheetData>
    <row r="1" customFormat="false" ht="23.85" hidden="false" customHeight="false" outlineLevel="0" collapsed="false">
      <c r="A1" s="13" t="s">
        <v>79</v>
      </c>
      <c r="B1" s="13" t="s">
        <v>569</v>
      </c>
      <c r="C1" s="13" t="s">
        <v>571</v>
      </c>
      <c r="D1" s="13" t="s">
        <v>573</v>
      </c>
      <c r="E1" s="13" t="s">
        <v>575</v>
      </c>
      <c r="F1" s="13" t="s">
        <v>559</v>
      </c>
      <c r="G1" s="13" t="s">
        <v>580</v>
      </c>
      <c r="H1" s="13" t="s">
        <v>583</v>
      </c>
    </row>
    <row r="2" customFormat="false" ht="23.85" hidden="false" customHeight="false" outlineLevel="0" collapsed="false">
      <c r="A2" s="14" t="s">
        <v>2538</v>
      </c>
      <c r="B2" s="14" t="s">
        <v>658</v>
      </c>
      <c r="C2" s="14" t="s">
        <v>658</v>
      </c>
      <c r="D2" s="14" t="s">
        <v>658</v>
      </c>
      <c r="E2" s="14"/>
      <c r="F2" s="14" t="s">
        <v>716</v>
      </c>
      <c r="G2" s="14" t="n">
        <v>3</v>
      </c>
      <c r="H2" s="5" t="s">
        <v>2539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2026-10-12T22:47:10Z</dcterms:created>
  <dc:creator>openpyxl</dc:creator>
  <dc:description/>
  <dc:language>en-US</dc:language>
  <cp:lastModifiedBy/>
  <dcterms:modified xsi:type="dcterms:W3CDTF">2026-10-12T22:47:11Z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